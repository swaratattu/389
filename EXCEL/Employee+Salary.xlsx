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wara\Downloads\"/>
    </mc:Choice>
  </mc:AlternateContent>
  <xr:revisionPtr revIDLastSave="0" documentId="13_ncr:1_{6CED3AF8-644D-4B74-8CF6-20CB28541F8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Basic Pay" sheetId="1" r:id="rId1"/>
    <sheet name="HRA" sheetId="2" r:id="rId2"/>
    <sheet name="DA" sheetId="3" r:id="rId3"/>
    <sheet name="Gross Salary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4" l="1"/>
  <c r="G4" i="4"/>
  <c r="G5" i="4"/>
  <c r="G6" i="4"/>
  <c r="G7" i="4"/>
  <c r="G8" i="4"/>
  <c r="G9" i="4"/>
  <c r="G10" i="4"/>
  <c r="G11" i="4"/>
  <c r="G12" i="4"/>
  <c r="G13" i="4"/>
  <c r="G14" i="4"/>
  <c r="D15" i="3"/>
  <c r="D15" i="2"/>
  <c r="D15" i="1"/>
  <c r="D14" i="2"/>
  <c r="D6" i="2"/>
  <c r="D7" i="2"/>
  <c r="D8" i="2"/>
  <c r="D9" i="2"/>
  <c r="D10" i="2"/>
  <c r="D11" i="2"/>
  <c r="D12" i="2"/>
  <c r="D13" i="2"/>
  <c r="D5" i="2"/>
  <c r="D6" i="3"/>
  <c r="D7" i="3"/>
  <c r="D8" i="3"/>
  <c r="D9" i="3"/>
  <c r="D10" i="3"/>
  <c r="D11" i="3"/>
  <c r="D12" i="3"/>
  <c r="D13" i="3"/>
  <c r="D14" i="3"/>
  <c r="D5" i="3"/>
</calcChain>
</file>

<file path=xl/sharedStrings.xml><?xml version="1.0" encoding="utf-8"?>
<sst xmlns="http://schemas.openxmlformats.org/spreadsheetml/2006/main" count="45" uniqueCount="21">
  <si>
    <t>Basic Pay of the Employees</t>
  </si>
  <si>
    <t>Emp_Name</t>
  </si>
  <si>
    <t>Emp_ID</t>
  </si>
  <si>
    <t>Sandy</t>
  </si>
  <si>
    <t>Sam</t>
  </si>
  <si>
    <t>Peter</t>
  </si>
  <si>
    <t>Bobby</t>
  </si>
  <si>
    <t>John</t>
  </si>
  <si>
    <t>Rita</t>
  </si>
  <si>
    <t>Rozy</t>
  </si>
  <si>
    <t>Rozita</t>
  </si>
  <si>
    <t>Andre</t>
  </si>
  <si>
    <t>Rocher</t>
  </si>
  <si>
    <t>HRA of the Employees</t>
  </si>
  <si>
    <t>Emp_HRA</t>
  </si>
  <si>
    <t>Emp_Basic_Pay</t>
  </si>
  <si>
    <t>DA of the Employees</t>
  </si>
  <si>
    <t>Emp_DA</t>
  </si>
  <si>
    <t>Employee</t>
  </si>
  <si>
    <t>Basic Pay</t>
  </si>
  <si>
    <t>Gross Salary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</si>
</sst>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5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D15"/>
  <sheetViews>
    <sheetView tabSelected="1" workbookViewId="0">
      <selection activeCell="D5" sqref="D5:D14"/>
    </sheetView>
  </sheetViews>
  <sheetFormatPr defaultRowHeight="13.2" x14ac:dyDescent="0.25"/>
  <cols>
    <col min="2" max="2" width="15.33203125" customWidth="1"/>
    <col min="3" max="3" width="22" customWidth="1"/>
    <col min="4" max="4" width="25.44140625" customWidth="1"/>
  </cols>
  <sheetData>
    <row r="3" spans="2:4" x14ac:dyDescent="0.25">
      <c r="B3" s="3" t="s">
        <v>0</v>
      </c>
      <c r="C3" s="3"/>
      <c r="D3" s="3"/>
    </row>
    <row r="4" spans="2:4" x14ac:dyDescent="0.25">
      <c r="B4" s="2" t="s">
        <v>2</v>
      </c>
      <c r="C4" s="2" t="s">
        <v>1</v>
      </c>
      <c r="D4" s="2" t="s">
        <v>15</v>
      </c>
    </row>
    <row r="5" spans="2:4" x14ac:dyDescent="0.25">
      <c r="B5" s="2">
        <v>5001</v>
      </c>
      <c r="C5" s="2" t="s">
        <v>3</v>
      </c>
      <c r="D5" s="2">
        <v>4500</v>
      </c>
    </row>
    <row r="6" spans="2:4" x14ac:dyDescent="0.25">
      <c r="B6" s="2">
        <v>5003</v>
      </c>
      <c r="C6" s="2" t="s">
        <v>4</v>
      </c>
      <c r="D6" s="2">
        <v>2500</v>
      </c>
    </row>
    <row r="7" spans="2:4" x14ac:dyDescent="0.25">
      <c r="B7" s="2">
        <v>5098</v>
      </c>
      <c r="C7" s="2" t="s">
        <v>5</v>
      </c>
      <c r="D7" s="2">
        <v>4500</v>
      </c>
    </row>
    <row r="8" spans="2:4" x14ac:dyDescent="0.25">
      <c r="B8" s="2">
        <v>5689</v>
      </c>
      <c r="C8" s="2" t="s">
        <v>6</v>
      </c>
      <c r="D8" s="2">
        <v>3200</v>
      </c>
    </row>
    <row r="9" spans="2:4" x14ac:dyDescent="0.25">
      <c r="B9" s="2">
        <v>5764</v>
      </c>
      <c r="C9" s="2" t="s">
        <v>7</v>
      </c>
      <c r="D9" s="2">
        <v>1223</v>
      </c>
    </row>
    <row r="10" spans="2:4" x14ac:dyDescent="0.25">
      <c r="B10" s="2">
        <v>5091</v>
      </c>
      <c r="C10" s="2" t="s">
        <v>8</v>
      </c>
      <c r="D10" s="2">
        <v>7890</v>
      </c>
    </row>
    <row r="11" spans="2:4" x14ac:dyDescent="0.25">
      <c r="B11" s="2">
        <v>5673</v>
      </c>
      <c r="C11" s="2" t="s">
        <v>9</v>
      </c>
      <c r="D11" s="2">
        <v>6500</v>
      </c>
    </row>
    <row r="12" spans="2:4" x14ac:dyDescent="0.25">
      <c r="B12" s="2">
        <v>5901</v>
      </c>
      <c r="C12" s="2" t="s">
        <v>10</v>
      </c>
      <c r="D12" s="2">
        <v>5479</v>
      </c>
    </row>
    <row r="13" spans="2:4" x14ac:dyDescent="0.25">
      <c r="B13" s="2">
        <v>5764</v>
      </c>
      <c r="C13" s="2" t="s">
        <v>11</v>
      </c>
      <c r="D13" s="2">
        <v>3456</v>
      </c>
    </row>
    <row r="14" spans="2:4" x14ac:dyDescent="0.25">
      <c r="B14" s="2">
        <v>5555</v>
      </c>
      <c r="C14" s="2" t="s">
        <v>12</v>
      </c>
      <c r="D14" s="2">
        <v>1200</v>
      </c>
    </row>
    <row r="15" spans="2:4" x14ac:dyDescent="0.25">
      <c r="D15">
        <f>SUM(D5:D14)</f>
        <v>40448</v>
      </c>
    </row>
  </sheetData>
  <mergeCells count="1">
    <mergeCell ref="B3:D3"/>
  </mergeCells>
  <phoneticPr fontId="0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3:D15"/>
  <sheetViews>
    <sheetView topLeftCell="B1" workbookViewId="0">
      <selection activeCell="D5" sqref="D5:D14"/>
    </sheetView>
  </sheetViews>
  <sheetFormatPr defaultRowHeight="13.2" x14ac:dyDescent="0.25"/>
  <cols>
    <col min="2" max="2" width="15.33203125" customWidth="1"/>
    <col min="3" max="3" width="22" customWidth="1"/>
    <col min="4" max="4" width="25.44140625" customWidth="1"/>
  </cols>
  <sheetData>
    <row r="3" spans="2:4" x14ac:dyDescent="0.25">
      <c r="B3" s="4" t="s">
        <v>13</v>
      </c>
      <c r="C3" s="4"/>
      <c r="D3" s="4"/>
    </row>
    <row r="4" spans="2:4" x14ac:dyDescent="0.25">
      <c r="B4" s="1" t="s">
        <v>2</v>
      </c>
      <c r="C4" s="1" t="s">
        <v>1</v>
      </c>
      <c r="D4" s="1" t="s">
        <v>14</v>
      </c>
    </row>
    <row r="5" spans="2:4" x14ac:dyDescent="0.25">
      <c r="B5" s="1">
        <v>5001</v>
      </c>
      <c r="C5" s="1" t="s">
        <v>3</v>
      </c>
      <c r="D5" s="1">
        <f>'Basic Pay'!D5+DA!D5*50%</f>
        <v>31500</v>
      </c>
    </row>
    <row r="6" spans="2:4" x14ac:dyDescent="0.25">
      <c r="B6" s="1">
        <v>5003</v>
      </c>
      <c r="C6" s="1" t="s">
        <v>4</v>
      </c>
      <c r="D6" s="1">
        <f>'Basic Pay'!D6+DA!D6*50%</f>
        <v>17500</v>
      </c>
    </row>
    <row r="7" spans="2:4" x14ac:dyDescent="0.25">
      <c r="B7" s="1">
        <v>5098</v>
      </c>
      <c r="C7" s="1" t="s">
        <v>5</v>
      </c>
      <c r="D7" s="1">
        <f>'Basic Pay'!D7+DA!D7*50%</f>
        <v>31500</v>
      </c>
    </row>
    <row r="8" spans="2:4" x14ac:dyDescent="0.25">
      <c r="B8" s="1">
        <v>5689</v>
      </c>
      <c r="C8" s="1" t="s">
        <v>6</v>
      </c>
      <c r="D8" s="1">
        <f>'Basic Pay'!D8+DA!D8*50%</f>
        <v>22400</v>
      </c>
    </row>
    <row r="9" spans="2:4" x14ac:dyDescent="0.25">
      <c r="B9" s="1">
        <v>5764</v>
      </c>
      <c r="C9" s="1" t="s">
        <v>7</v>
      </c>
      <c r="D9" s="1">
        <f>'Basic Pay'!D9+DA!D9*50%</f>
        <v>8561</v>
      </c>
    </row>
    <row r="10" spans="2:4" x14ac:dyDescent="0.25">
      <c r="B10" s="1">
        <v>5091</v>
      </c>
      <c r="C10" s="1" t="s">
        <v>8</v>
      </c>
      <c r="D10" s="1">
        <f>'Basic Pay'!D10+DA!D10*50%</f>
        <v>55230</v>
      </c>
    </row>
    <row r="11" spans="2:4" x14ac:dyDescent="0.25">
      <c r="B11" s="1">
        <v>5673</v>
      </c>
      <c r="C11" s="1" t="s">
        <v>9</v>
      </c>
      <c r="D11" s="1">
        <f>'Basic Pay'!D11+DA!D11*50%</f>
        <v>45500</v>
      </c>
    </row>
    <row r="12" spans="2:4" x14ac:dyDescent="0.25">
      <c r="B12" s="1">
        <v>5901</v>
      </c>
      <c r="C12" s="1" t="s">
        <v>10</v>
      </c>
      <c r="D12" s="1">
        <f>'Basic Pay'!D12+DA!D12*50%</f>
        <v>38353</v>
      </c>
    </row>
    <row r="13" spans="2:4" x14ac:dyDescent="0.25">
      <c r="B13" s="1">
        <v>5764</v>
      </c>
      <c r="C13" s="1" t="s">
        <v>11</v>
      </c>
      <c r="D13" s="1">
        <f>'Basic Pay'!D13+DA!D13*50%</f>
        <v>24192</v>
      </c>
    </row>
    <row r="14" spans="2:4" x14ac:dyDescent="0.25">
      <c r="B14" s="1">
        <v>5555</v>
      </c>
      <c r="C14" s="1" t="s">
        <v>12</v>
      </c>
      <c r="D14" s="1">
        <f>'Basic Pay'!D14+DA!D14*50%</f>
        <v>8400</v>
      </c>
    </row>
    <row r="15" spans="2:4" x14ac:dyDescent="0.25">
      <c r="D15">
        <f>SUM(D5:D14)</f>
        <v>283136</v>
      </c>
    </row>
  </sheetData>
  <mergeCells count="1">
    <mergeCell ref="B3:D3"/>
  </mergeCells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3:D15"/>
  <sheetViews>
    <sheetView workbookViewId="0">
      <selection activeCell="D5" sqref="D5:D14"/>
    </sheetView>
  </sheetViews>
  <sheetFormatPr defaultRowHeight="13.2" x14ac:dyDescent="0.25"/>
  <cols>
    <col min="2" max="2" width="15.33203125" customWidth="1"/>
    <col min="3" max="3" width="22" customWidth="1"/>
    <col min="4" max="4" width="25.44140625" customWidth="1"/>
  </cols>
  <sheetData>
    <row r="3" spans="2:4" x14ac:dyDescent="0.25">
      <c r="B3" s="5" t="s">
        <v>16</v>
      </c>
      <c r="C3" s="5"/>
      <c r="D3" s="5"/>
    </row>
    <row r="4" spans="2:4" x14ac:dyDescent="0.25">
      <c r="B4" s="1" t="s">
        <v>2</v>
      </c>
      <c r="C4" s="1" t="s">
        <v>1</v>
      </c>
      <c r="D4" s="1" t="s">
        <v>17</v>
      </c>
    </row>
    <row r="5" spans="2:4" x14ac:dyDescent="0.25">
      <c r="B5" s="1">
        <v>5001</v>
      </c>
      <c r="C5" s="1" t="s">
        <v>3</v>
      </c>
      <c r="D5" s="1">
        <f>'Basic Pay'!D5*12</f>
        <v>54000</v>
      </c>
    </row>
    <row r="6" spans="2:4" x14ac:dyDescent="0.25">
      <c r="B6" s="1">
        <v>5003</v>
      </c>
      <c r="C6" s="1" t="s">
        <v>4</v>
      </c>
      <c r="D6" s="1">
        <f>'Basic Pay'!D6*12</f>
        <v>30000</v>
      </c>
    </row>
    <row r="7" spans="2:4" x14ac:dyDescent="0.25">
      <c r="B7" s="1">
        <v>5098</v>
      </c>
      <c r="C7" s="1" t="s">
        <v>5</v>
      </c>
      <c r="D7" s="1">
        <f>'Basic Pay'!D7*12</f>
        <v>54000</v>
      </c>
    </row>
    <row r="8" spans="2:4" x14ac:dyDescent="0.25">
      <c r="B8" s="1">
        <v>5689</v>
      </c>
      <c r="C8" s="1" t="s">
        <v>6</v>
      </c>
      <c r="D8" s="1">
        <f>'Basic Pay'!D8*12</f>
        <v>38400</v>
      </c>
    </row>
    <row r="9" spans="2:4" x14ac:dyDescent="0.25">
      <c r="B9" s="1">
        <v>5764</v>
      </c>
      <c r="C9" s="1" t="s">
        <v>7</v>
      </c>
      <c r="D9" s="1">
        <f>'Basic Pay'!D9*12</f>
        <v>14676</v>
      </c>
    </row>
    <row r="10" spans="2:4" x14ac:dyDescent="0.25">
      <c r="B10" s="1">
        <v>5091</v>
      </c>
      <c r="C10" s="1" t="s">
        <v>8</v>
      </c>
      <c r="D10" s="1">
        <f>'Basic Pay'!D10*12</f>
        <v>94680</v>
      </c>
    </row>
    <row r="11" spans="2:4" x14ac:dyDescent="0.25">
      <c r="B11" s="1">
        <v>5673</v>
      </c>
      <c r="C11" s="1" t="s">
        <v>9</v>
      </c>
      <c r="D11" s="1">
        <f>'Basic Pay'!D11*12</f>
        <v>78000</v>
      </c>
    </row>
    <row r="12" spans="2:4" x14ac:dyDescent="0.25">
      <c r="B12" s="1">
        <v>5901</v>
      </c>
      <c r="C12" s="1" t="s">
        <v>10</v>
      </c>
      <c r="D12" s="1">
        <f>'Basic Pay'!D12*12</f>
        <v>65748</v>
      </c>
    </row>
    <row r="13" spans="2:4" x14ac:dyDescent="0.25">
      <c r="B13" s="1">
        <v>5764</v>
      </c>
      <c r="C13" s="1" t="s">
        <v>11</v>
      </c>
      <c r="D13" s="1">
        <f>'Basic Pay'!D13*12</f>
        <v>41472</v>
      </c>
    </row>
    <row r="14" spans="2:4" x14ac:dyDescent="0.25">
      <c r="B14" s="1">
        <v>5555</v>
      </c>
      <c r="C14" s="1" t="s">
        <v>12</v>
      </c>
      <c r="D14" s="1">
        <f>'Basic Pay'!D14*12</f>
        <v>14400</v>
      </c>
    </row>
    <row r="15" spans="2:4" x14ac:dyDescent="0.25">
      <c r="D15">
        <f>SUM(D5:D14)</f>
        <v>485376</v>
      </c>
    </row>
  </sheetData>
  <mergeCells count="1">
    <mergeCell ref="B3:D3"/>
  </mergeCells>
  <phoneticPr fontId="0" type="noConversion"/>
  <pageMargins left="0.75" right="0.75" top="1" bottom="1" header="0.5" footer="0.5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30DAD2-EA89-4809-AC8E-23D1CEEF1624}">
  <dimension ref="C2:G14"/>
  <sheetViews>
    <sheetView workbookViewId="0">
      <selection activeCell="G4" sqref="G4"/>
    </sheetView>
  </sheetViews>
  <sheetFormatPr defaultRowHeight="13.2" x14ac:dyDescent="0.25"/>
  <cols>
    <col min="3" max="3" width="10.88671875" customWidth="1"/>
    <col min="4" max="4" width="11.109375" customWidth="1"/>
    <col min="6" max="6" width="8.88671875" customWidth="1"/>
    <col min="7" max="7" width="13.44140625" customWidth="1"/>
  </cols>
  <sheetData>
    <row r="2" spans="3:7" x14ac:dyDescent="0.25">
      <c r="C2" t="s">
        <v>18</v>
      </c>
      <c r="D2" t="s">
        <v>19</v>
      </c>
      <c r="G2" t="s">
        <v>20</v>
      </c>
    </row>
    <row r="3" spans="3:7" x14ac:dyDescent="0.25">
      <c r="C3" s="1">
        <v>5001</v>
      </c>
      <c r="D3" s="2">
        <v>4500</v>
      </c>
      <c r="G3">
        <f>SUM('Basic Pay'!D5+HRA!D5+DA!D5)</f>
        <v>90000</v>
      </c>
    </row>
    <row r="4" spans="3:7" x14ac:dyDescent="0.25">
      <c r="C4" s="1">
        <v>5003</v>
      </c>
      <c r="D4" s="2">
        <v>2500</v>
      </c>
      <c r="G4">
        <f>SUM('Basic Pay'!D6+HRA!D6+DA!D6)</f>
        <v>50000</v>
      </c>
    </row>
    <row r="5" spans="3:7" x14ac:dyDescent="0.25">
      <c r="C5" s="1">
        <v>5098</v>
      </c>
      <c r="D5" s="2">
        <v>4500</v>
      </c>
      <c r="G5">
        <f>SUM('Basic Pay'!D7+HRA!D7+DA!D7)</f>
        <v>90000</v>
      </c>
    </row>
    <row r="6" spans="3:7" x14ac:dyDescent="0.25">
      <c r="C6" s="1">
        <v>5689</v>
      </c>
      <c r="D6" s="2">
        <v>3200</v>
      </c>
      <c r="G6">
        <f>SUM('Basic Pay'!D8+HRA!D8+DA!D8)</f>
        <v>64000</v>
      </c>
    </row>
    <row r="7" spans="3:7" x14ac:dyDescent="0.25">
      <c r="C7" s="1">
        <v>5764</v>
      </c>
      <c r="D7" s="2">
        <v>1223</v>
      </c>
      <c r="G7">
        <f>SUM('Basic Pay'!D9+HRA!D9+DA!D9)</f>
        <v>24460</v>
      </c>
    </row>
    <row r="8" spans="3:7" x14ac:dyDescent="0.25">
      <c r="C8" s="1">
        <v>5091</v>
      </c>
      <c r="D8" s="2">
        <v>7890</v>
      </c>
      <c r="G8">
        <f>SUM('Basic Pay'!D10+HRA!D10+DA!D10)</f>
        <v>157800</v>
      </c>
    </row>
    <row r="9" spans="3:7" x14ac:dyDescent="0.25">
      <c r="C9" s="1">
        <v>5673</v>
      </c>
      <c r="D9" s="2">
        <v>6500</v>
      </c>
      <c r="G9">
        <f>SUM('Basic Pay'!D11+HRA!D11+DA!D11)</f>
        <v>130000</v>
      </c>
    </row>
    <row r="10" spans="3:7" x14ac:dyDescent="0.25">
      <c r="C10" s="1">
        <v>5901</v>
      </c>
      <c r="D10" s="2">
        <v>5479</v>
      </c>
      <c r="G10">
        <f>SUM('Basic Pay'!D12+HRA!D12+DA!D12)</f>
        <v>109580</v>
      </c>
    </row>
    <row r="11" spans="3:7" x14ac:dyDescent="0.25">
      <c r="C11" s="1">
        <v>5764</v>
      </c>
      <c r="D11" s="2">
        <v>3456</v>
      </c>
      <c r="G11">
        <f>SUM('Basic Pay'!D13+HRA!D13+DA!D13)</f>
        <v>69120</v>
      </c>
    </row>
    <row r="12" spans="3:7" x14ac:dyDescent="0.25">
      <c r="C12" s="1">
        <v>5555</v>
      </c>
      <c r="D12" s="2">
        <v>1200</v>
      </c>
      <c r="G12">
        <f>SUM('Basic Pay'!D14+HRA!D14+DA!D14)</f>
        <v>24000</v>
      </c>
    </row>
    <row r="13" spans="3:7" x14ac:dyDescent="0.25">
      <c r="G13">
        <f>SUM('Basic Pay'!D15+HRA!D15+DA!D15)</f>
        <v>808960</v>
      </c>
    </row>
    <row r="14" spans="3:7" x14ac:dyDescent="0.25">
      <c r="G14">
        <f>SUM('Basic Pay'!D16+HRA!D16+DA!D16)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Basic Pay</vt:lpstr>
      <vt:lpstr>HRA</vt:lpstr>
      <vt:lpstr>DA</vt:lpstr>
      <vt:lpstr>Gross Salary</vt:lpstr>
    </vt:vector>
  </TitlesOfParts>
  <Company>abc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Swara Tattu</cp:lastModifiedBy>
  <dcterms:created xsi:type="dcterms:W3CDTF">2007-12-11T14:17:32Z</dcterms:created>
  <dcterms:modified xsi:type="dcterms:W3CDTF">2026-09-17T19:00:02Z</dcterms:modified>
</cp:coreProperties>
</file>