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8_{742609AE-EA0E-4AA0-95C0-DBF9EE7E37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te rows" sheetId="1" r:id="rId1"/>
    <sheet name="Consolidate columns" sheetId="2" r:id="rId2"/>
    <sheet name="consolidation" sheetId="8" r:id="rId3"/>
    <sheet name="Report 1" sheetId="3" r:id="rId4"/>
    <sheet name="Report 2" sheetId="4" r:id="rId5"/>
    <sheet name="Report 3" sheetId="5" r:id="rId6"/>
    <sheet name="dynamic" sheetId="6" r:id="rId7"/>
    <sheet name="static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IjkvgmQlpnEpWNt5lwlPTrC5S1STQjqoJPq6NGlglog="/>
    </ext>
  </extLst>
</workbook>
</file>

<file path=xl/calcChain.xml><?xml version="1.0" encoding="utf-8"?>
<calcChain xmlns="http://schemas.openxmlformats.org/spreadsheetml/2006/main">
  <c r="B2" i="8" l="1"/>
  <c r="B5" i="8" s="1"/>
  <c r="C2" i="8"/>
  <c r="C5" i="8" s="1"/>
  <c r="D2" i="8"/>
  <c r="D5" i="8" s="1"/>
  <c r="B3" i="8"/>
  <c r="C3" i="8"/>
  <c r="D3" i="8"/>
  <c r="B4" i="8"/>
  <c r="C4" i="8"/>
  <c r="D4" i="8"/>
  <c r="B6" i="8"/>
  <c r="B9" i="8" s="1"/>
  <c r="C6" i="8"/>
  <c r="C9" i="8" s="1"/>
  <c r="D6" i="8"/>
  <c r="B7" i="8"/>
  <c r="C7" i="8"/>
  <c r="D7" i="8"/>
  <c r="B8" i="8"/>
  <c r="C8" i="8"/>
  <c r="D8" i="8"/>
  <c r="D9" i="8"/>
  <c r="B10" i="8"/>
  <c r="B13" i="8" s="1"/>
  <c r="D10" i="8"/>
  <c r="D13" i="8" s="1"/>
  <c r="B11" i="8"/>
  <c r="C11" i="8"/>
  <c r="C13" i="8" s="1"/>
  <c r="D11" i="8"/>
  <c r="B12" i="8"/>
  <c r="C12" i="8"/>
  <c r="D12" i="8"/>
  <c r="B14" i="8"/>
  <c r="C14" i="8"/>
  <c r="D14" i="8"/>
  <c r="D17" i="8" s="1"/>
  <c r="B15" i="8"/>
  <c r="C15" i="8"/>
  <c r="D15" i="8"/>
  <c r="B16" i="8"/>
  <c r="C16" i="8"/>
  <c r="D16" i="8"/>
  <c r="B17" i="8"/>
  <c r="C17" i="8"/>
  <c r="B18" i="8"/>
  <c r="C18" i="8"/>
  <c r="D18" i="8"/>
  <c r="B19" i="8"/>
  <c r="C19" i="8"/>
  <c r="D19" i="8"/>
  <c r="B20" i="8"/>
  <c r="C20" i="8"/>
  <c r="D20" i="8"/>
  <c r="B21" i="8"/>
  <c r="C21" i="8"/>
  <c r="D21" i="8"/>
  <c r="B22" i="8"/>
  <c r="B25" i="8" s="1"/>
  <c r="C22" i="8"/>
  <c r="C25" i="8" s="1"/>
  <c r="D22" i="8"/>
  <c r="D25" i="8" s="1"/>
  <c r="B23" i="8"/>
  <c r="C23" i="8"/>
  <c r="D23" i="8"/>
  <c r="B24" i="8"/>
  <c r="C24" i="8"/>
  <c r="D24" i="8"/>
  <c r="B26" i="8"/>
  <c r="B29" i="8" s="1"/>
  <c r="C26" i="8"/>
  <c r="C29" i="8" s="1"/>
  <c r="D26" i="8"/>
  <c r="D29" i="8" s="1"/>
  <c r="B27" i="8"/>
  <c r="C27" i="8"/>
  <c r="D27" i="8"/>
  <c r="B28" i="8"/>
  <c r="C28" i="8"/>
  <c r="D28" i="8"/>
  <c r="B30" i="8"/>
  <c r="C30" i="8"/>
  <c r="D30" i="8"/>
  <c r="D33" i="8" s="1"/>
  <c r="B31" i="8"/>
  <c r="C31" i="8"/>
  <c r="D31" i="8"/>
  <c r="B32" i="8"/>
  <c r="C32" i="8"/>
  <c r="D32" i="8"/>
  <c r="B33" i="8"/>
  <c r="C33" i="8"/>
  <c r="B34" i="8"/>
  <c r="C34" i="8"/>
  <c r="D34" i="8"/>
  <c r="B35" i="8"/>
  <c r="C35" i="8"/>
  <c r="D35" i="8"/>
  <c r="B36" i="8"/>
  <c r="C36" i="8"/>
  <c r="D36" i="8"/>
  <c r="B37" i="8"/>
  <c r="C37" i="8"/>
  <c r="D37" i="8"/>
  <c r="B38" i="8"/>
  <c r="B41" i="8" s="1"/>
  <c r="D38" i="8"/>
  <c r="D41" i="8" s="1"/>
  <c r="B39" i="8"/>
  <c r="C39" i="8"/>
  <c r="D39" i="8"/>
  <c r="B40" i="8"/>
  <c r="C40" i="8"/>
  <c r="D40" i="8"/>
  <c r="C41" i="8"/>
  <c r="B42" i="8"/>
  <c r="B45" i="8" s="1"/>
  <c r="C42" i="8"/>
  <c r="C45" i="8" s="1"/>
  <c r="D42" i="8"/>
  <c r="D45" i="8" s="1"/>
  <c r="B43" i="8"/>
  <c r="C43" i="8"/>
  <c r="D43" i="8"/>
  <c r="C44" i="8"/>
  <c r="D44" i="8"/>
  <c r="B46" i="8"/>
  <c r="C46" i="8"/>
  <c r="D46" i="8"/>
  <c r="B47" i="8"/>
  <c r="C47" i="8"/>
  <c r="D47" i="8"/>
  <c r="B48" i="8"/>
  <c r="C48" i="8"/>
  <c r="D48" i="8"/>
  <c r="B49" i="8"/>
  <c r="C49" i="8"/>
  <c r="D49" i="8"/>
  <c r="B50" i="8"/>
  <c r="B53" i="8" s="1"/>
  <c r="C50" i="8"/>
  <c r="D50" i="8"/>
  <c r="B51" i="8"/>
  <c r="C51" i="8"/>
  <c r="D51" i="8"/>
  <c r="B52" i="8"/>
  <c r="D52" i="8"/>
  <c r="C53" i="8"/>
  <c r="D53" i="8"/>
  <c r="B54" i="8"/>
  <c r="B57" i="8" s="1"/>
  <c r="C54" i="8"/>
  <c r="C57" i="8" s="1"/>
  <c r="D54" i="8"/>
  <c r="D57" i="8" s="1"/>
  <c r="B55" i="8"/>
  <c r="C55" i="8"/>
  <c r="D55" i="8"/>
  <c r="B56" i="8"/>
  <c r="C56" i="8"/>
  <c r="D56" i="8"/>
  <c r="B58" i="8"/>
  <c r="C58" i="8"/>
  <c r="C61" i="8" s="1"/>
  <c r="D58" i="8"/>
  <c r="D61" i="8" s="1"/>
  <c r="B59" i="8"/>
  <c r="C59" i="8"/>
  <c r="D59" i="8"/>
  <c r="B60" i="8"/>
  <c r="C60" i="8"/>
  <c r="D60" i="8"/>
  <c r="B61" i="8"/>
  <c r="B62" i="8"/>
  <c r="C62" i="8"/>
  <c r="D62" i="8"/>
  <c r="B63" i="8"/>
  <c r="C63" i="8"/>
  <c r="D63" i="8"/>
  <c r="B64" i="8"/>
  <c r="C64" i="8"/>
  <c r="D64" i="8"/>
  <c r="B65" i="8"/>
  <c r="C65" i="8"/>
  <c r="D65" i="8"/>
  <c r="B66" i="8"/>
  <c r="B69" i="8" s="1"/>
  <c r="C66" i="8"/>
  <c r="C69" i="8" s="1"/>
  <c r="B67" i="8"/>
  <c r="C67" i="8"/>
  <c r="B68" i="8"/>
  <c r="C68" i="8"/>
  <c r="D68" i="8"/>
  <c r="D69" i="8"/>
  <c r="B70" i="8"/>
  <c r="B73" i="8" s="1"/>
  <c r="C70" i="8"/>
  <c r="C73" i="8" s="1"/>
  <c r="D70" i="8"/>
  <c r="D73" i="8" s="1"/>
  <c r="B71" i="8"/>
  <c r="D71" i="8"/>
  <c r="B72" i="8"/>
  <c r="C72" i="8"/>
  <c r="D72" i="8"/>
  <c r="B74" i="8"/>
  <c r="C74" i="8"/>
  <c r="D74" i="8"/>
  <c r="B75" i="8"/>
  <c r="C75" i="8"/>
  <c r="D75" i="8"/>
  <c r="B76" i="8"/>
  <c r="C76" i="8"/>
  <c r="D76" i="8"/>
  <c r="B77" i="8"/>
  <c r="C77" i="8"/>
  <c r="D77" i="8"/>
  <c r="B78" i="8"/>
  <c r="B81" i="8" s="1"/>
  <c r="C78" i="8"/>
  <c r="D78" i="8"/>
  <c r="B79" i="8"/>
  <c r="C79" i="8"/>
  <c r="D79" i="8"/>
  <c r="B80" i="8"/>
  <c r="C80" i="8"/>
  <c r="D80" i="8"/>
  <c r="C81" i="8"/>
  <c r="D81" i="8"/>
  <c r="D3" i="6"/>
  <c r="E3" i="6"/>
  <c r="F3" i="6"/>
  <c r="D4" i="6"/>
  <c r="E4" i="6"/>
  <c r="F4" i="6"/>
  <c r="D5" i="6"/>
  <c r="E5" i="6"/>
  <c r="F5" i="6"/>
  <c r="D6" i="6"/>
  <c r="E6" i="6"/>
  <c r="F6" i="6"/>
  <c r="D7" i="6"/>
  <c r="D10" i="6" s="1"/>
  <c r="E7" i="6"/>
  <c r="E10" i="6" s="1"/>
  <c r="F7" i="6"/>
  <c r="F10" i="6" s="1"/>
  <c r="D8" i="6"/>
  <c r="E8" i="6"/>
  <c r="F8" i="6"/>
  <c r="D9" i="6"/>
  <c r="E9" i="6"/>
  <c r="F9" i="6"/>
  <c r="D11" i="6"/>
  <c r="F11" i="6"/>
  <c r="F14" i="6" s="1"/>
  <c r="D12" i="6"/>
  <c r="F12" i="6"/>
  <c r="D13" i="6"/>
  <c r="E13" i="6"/>
  <c r="E14" i="6" s="1"/>
  <c r="F13" i="6"/>
  <c r="D14" i="6"/>
  <c r="D15" i="6"/>
  <c r="E15" i="6"/>
  <c r="F15" i="6"/>
  <c r="D16" i="6"/>
  <c r="E16" i="6"/>
  <c r="D17" i="6"/>
  <c r="E17" i="6"/>
  <c r="F17" i="6"/>
  <c r="D18" i="6"/>
  <c r="E18" i="6"/>
  <c r="F18" i="6"/>
  <c r="D19" i="6"/>
  <c r="D22" i="6" s="1"/>
  <c r="E19" i="6"/>
  <c r="E22" i="6" s="1"/>
  <c r="F19" i="6"/>
  <c r="F22" i="6" s="1"/>
  <c r="D20" i="6"/>
  <c r="E20" i="6"/>
  <c r="F20" i="6"/>
  <c r="D21" i="6"/>
  <c r="E21" i="6"/>
  <c r="F21" i="6"/>
  <c r="D23" i="6"/>
  <c r="D26" i="6" s="1"/>
  <c r="E23" i="6"/>
  <c r="E26" i="6" s="1"/>
  <c r="F23" i="6"/>
  <c r="F26" i="6" s="1"/>
  <c r="D24" i="6"/>
  <c r="E24" i="6"/>
  <c r="F24" i="6"/>
  <c r="D25" i="6"/>
  <c r="E25" i="6"/>
  <c r="F25" i="6"/>
  <c r="D27" i="6"/>
  <c r="E27" i="6"/>
  <c r="F27" i="6"/>
  <c r="F30" i="6" s="1"/>
  <c r="D28" i="6"/>
  <c r="E28" i="6"/>
  <c r="F28" i="6"/>
  <c r="D29" i="6"/>
  <c r="E29" i="6"/>
  <c r="F29" i="6"/>
  <c r="D30" i="6"/>
  <c r="E30" i="6"/>
  <c r="D31" i="6"/>
  <c r="E31" i="6"/>
  <c r="F31" i="6"/>
  <c r="D32" i="6"/>
  <c r="E32" i="6"/>
  <c r="F32" i="6"/>
  <c r="D33" i="6"/>
  <c r="E33" i="6"/>
  <c r="F33" i="6"/>
  <c r="D34" i="6"/>
  <c r="E34" i="6"/>
  <c r="F34" i="6"/>
  <c r="D35" i="6"/>
  <c r="D38" i="6" s="1"/>
  <c r="E35" i="6"/>
  <c r="E38" i="6" s="1"/>
  <c r="F35" i="6"/>
  <c r="F38" i="6" s="1"/>
  <c r="D36" i="6"/>
  <c r="E36" i="6"/>
  <c r="F36" i="6"/>
  <c r="D37" i="6"/>
  <c r="E37" i="6"/>
  <c r="F37" i="6"/>
  <c r="D39" i="6"/>
  <c r="D42" i="6" s="1"/>
  <c r="F39" i="6"/>
  <c r="F42" i="6" s="1"/>
  <c r="D40" i="6"/>
  <c r="E40" i="6"/>
  <c r="E42" i="6" s="1"/>
  <c r="F40" i="6"/>
  <c r="D41" i="6"/>
  <c r="E41" i="6"/>
  <c r="F41" i="6"/>
  <c r="D43" i="6"/>
  <c r="E43" i="6"/>
  <c r="F43" i="6"/>
  <c r="D44" i="6"/>
  <c r="E44" i="6"/>
  <c r="F44" i="6"/>
  <c r="D45" i="6"/>
  <c r="E45" i="6"/>
  <c r="F45" i="6"/>
  <c r="D46" i="6"/>
  <c r="E46" i="6"/>
  <c r="F46" i="6"/>
  <c r="D47" i="6"/>
  <c r="E47" i="6"/>
  <c r="F47" i="6"/>
  <c r="D48" i="6"/>
  <c r="E48" i="6"/>
  <c r="F48" i="6"/>
  <c r="D49" i="6"/>
  <c r="E49" i="6"/>
  <c r="F49" i="6"/>
  <c r="D50" i="6"/>
  <c r="E50" i="6"/>
  <c r="F50" i="6"/>
  <c r="D51" i="6"/>
  <c r="D54" i="6" s="1"/>
  <c r="E51" i="6"/>
  <c r="E54" i="6" s="1"/>
  <c r="F51" i="6"/>
  <c r="F54" i="6" s="1"/>
  <c r="D52" i="6"/>
  <c r="E52" i="6"/>
  <c r="F52" i="6"/>
  <c r="D53" i="6"/>
  <c r="E53" i="6"/>
  <c r="F53" i="6"/>
  <c r="D55" i="6"/>
  <c r="D58" i="6" s="1"/>
  <c r="E55" i="6"/>
  <c r="E58" i="6" s="1"/>
  <c r="F55" i="6"/>
  <c r="F58" i="6" s="1"/>
  <c r="D56" i="6"/>
  <c r="E56" i="6"/>
  <c r="F56" i="6"/>
  <c r="D57" i="6"/>
  <c r="E57" i="6"/>
  <c r="F57" i="6"/>
  <c r="D59" i="6"/>
  <c r="E59" i="6"/>
  <c r="F59" i="6"/>
  <c r="D60" i="6"/>
  <c r="E60" i="6"/>
  <c r="F60" i="6"/>
  <c r="D61" i="6"/>
  <c r="E61" i="6"/>
  <c r="F61" i="6"/>
  <c r="D62" i="6"/>
  <c r="E62" i="6"/>
  <c r="F62" i="6"/>
  <c r="D63" i="6"/>
  <c r="E63" i="6"/>
  <c r="F63" i="6"/>
  <c r="D64" i="6"/>
  <c r="E64" i="6"/>
  <c r="F64" i="6"/>
  <c r="E65" i="6"/>
  <c r="F65" i="6"/>
  <c r="D66" i="6"/>
  <c r="E66" i="6"/>
  <c r="F66" i="6"/>
  <c r="D67" i="6"/>
  <c r="D70" i="6" s="1"/>
  <c r="E67" i="6"/>
  <c r="E70" i="6" s="1"/>
  <c r="D68" i="6"/>
  <c r="E68" i="6"/>
  <c r="F68" i="6"/>
  <c r="F70" i="6" s="1"/>
  <c r="D69" i="6"/>
  <c r="F69" i="6"/>
  <c r="D71" i="6"/>
  <c r="E71" i="6"/>
  <c r="F71" i="6"/>
  <c r="F74" i="6" s="1"/>
  <c r="D72" i="6"/>
  <c r="E72" i="6"/>
  <c r="F72" i="6"/>
  <c r="D73" i="6"/>
  <c r="E73" i="6"/>
  <c r="F73" i="6"/>
  <c r="D74" i="6"/>
  <c r="E74" i="6"/>
  <c r="D75" i="6"/>
  <c r="E75" i="6"/>
  <c r="F75" i="6"/>
  <c r="D76" i="6"/>
  <c r="E76" i="6"/>
  <c r="F76" i="6"/>
  <c r="D77" i="6"/>
  <c r="E77" i="6"/>
  <c r="F77" i="6"/>
  <c r="D78" i="6"/>
  <c r="E78" i="6"/>
  <c r="F78" i="6"/>
  <c r="D79" i="6"/>
  <c r="D82" i="6" s="1"/>
  <c r="E79" i="6"/>
  <c r="E82" i="6" s="1"/>
  <c r="F79" i="6"/>
  <c r="F82" i="6" s="1"/>
  <c r="D80" i="6"/>
  <c r="E80" i="6"/>
  <c r="F80" i="6"/>
  <c r="D81" i="6"/>
  <c r="E81" i="6"/>
  <c r="F81" i="6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3" i="2"/>
</calcChain>
</file>

<file path=xl/sharedStrings.xml><?xml version="1.0" encoding="utf-8"?>
<sst xmlns="http://schemas.openxmlformats.org/spreadsheetml/2006/main" count="259" uniqueCount="49">
  <si>
    <t>Consolidate rows in Excel with formulas</t>
  </si>
  <si>
    <t>Item</t>
  </si>
  <si>
    <t>Consolidate columns in Excel with formulas</t>
  </si>
  <si>
    <t>Jan</t>
  </si>
  <si>
    <t>Feb</t>
  </si>
  <si>
    <t>Mar</t>
  </si>
  <si>
    <t>Date</t>
  </si>
  <si>
    <t>Department</t>
  </si>
  <si>
    <t>Biscuits</t>
  </si>
  <si>
    <t>Waffles</t>
  </si>
  <si>
    <t>Total</t>
  </si>
  <si>
    <t>Amount</t>
  </si>
  <si>
    <t>Average</t>
  </si>
  <si>
    <t>Brownies</t>
  </si>
  <si>
    <t>Cakes</t>
  </si>
  <si>
    <t>Candy Bars</t>
  </si>
  <si>
    <t>Cheesecake</t>
  </si>
  <si>
    <t>Chocolate</t>
  </si>
  <si>
    <t>Cookies</t>
  </si>
  <si>
    <t>Croissants</t>
  </si>
  <si>
    <t>Tarts</t>
  </si>
  <si>
    <t>Cupcakes</t>
  </si>
  <si>
    <t>Donuts</t>
  </si>
  <si>
    <t>Sweets</t>
  </si>
  <si>
    <t>Fudge</t>
  </si>
  <si>
    <t>Pies</t>
  </si>
  <si>
    <t>Ice-cream</t>
  </si>
  <si>
    <t>Pastries</t>
  </si>
  <si>
    <t>Macarons</t>
  </si>
  <si>
    <t>Pancakes</t>
  </si>
  <si>
    <t>Muffins</t>
  </si>
  <si>
    <t>Administration</t>
  </si>
  <si>
    <t>Sales</t>
  </si>
  <si>
    <t>Customer Support</t>
  </si>
  <si>
    <t>Marketing</t>
  </si>
  <si>
    <t>Support</t>
  </si>
  <si>
    <t>Finance</t>
  </si>
  <si>
    <t>Human Resources</t>
  </si>
  <si>
    <t>Information Technology</t>
  </si>
  <si>
    <t>Legal</t>
  </si>
  <si>
    <t xml:space="preserve"> </t>
  </si>
  <si>
    <t>Logistics</t>
  </si>
  <si>
    <t>Operations</t>
  </si>
  <si>
    <t>Procurement</t>
  </si>
  <si>
    <t>Product Management</t>
  </si>
  <si>
    <t>Quality Assurance</t>
  </si>
  <si>
    <t>Research and Development</t>
  </si>
  <si>
    <t>Training and Development</t>
  </si>
  <si>
    <t>Excel-Consolidate-Data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</si>
</sst>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"/>
  </numFmts>
  <fonts count="6">
    <font>
      <sz val="11"/>
      <color theme="1"/>
      <name val="Aptos Narrow"/>
      <scheme val="minor"/>
    </font>
    <font>
      <b/>
      <sz val="11"/>
      <color theme="1"/>
      <name val="Calibri"/>
    </font>
    <font>
      <b/>
      <sz val="14"/>
      <color theme="1"/>
      <name val="Calibri"/>
    </font>
    <font>
      <sz val="11"/>
      <name val="Aptos Narrow"/>
    </font>
    <font>
      <sz val="11"/>
      <color theme="1"/>
      <name val="Calibri"/>
    </font>
    <font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  <fill>
      <patternFill patternType="solid">
        <fgColor rgb="FFDBE9F7"/>
        <bgColor rgb="FFDBE9F7"/>
      </patternFill>
    </fill>
    <fill>
      <patternFill patternType="solid">
        <fgColor rgb="FFE3F4D4"/>
        <bgColor rgb="FFE3F4D4"/>
      </patternFill>
    </fill>
    <fill>
      <patternFill patternType="solid">
        <fgColor rgb="FFFAE2D5"/>
        <bgColor rgb="FFFAE2D5"/>
      </patternFill>
    </fill>
  </fills>
  <borders count="33">
    <border>
      <left/>
      <right/>
      <top/>
      <bottom/>
      <diagonal/>
    </border>
    <border>
      <left style="thin">
        <color rgb="FF45B0E1"/>
      </left>
      <right/>
      <top style="thin">
        <color rgb="FF45B0E1"/>
      </top>
      <bottom/>
      <diagonal/>
    </border>
    <border>
      <left style="thin">
        <color rgb="FF8ED873"/>
      </left>
      <right/>
      <top style="thin">
        <color rgb="FF8ED873"/>
      </top>
      <bottom/>
      <diagonal/>
    </border>
    <border>
      <left/>
      <right/>
      <top/>
      <bottom style="thin">
        <color rgb="FF4D94D8"/>
      </bottom>
      <diagonal/>
    </border>
    <border>
      <left/>
      <right/>
      <top style="thin">
        <color rgb="FF45B0E1"/>
      </top>
      <bottom/>
      <diagonal/>
    </border>
    <border>
      <left/>
      <right/>
      <top style="thin">
        <color rgb="FF8ED873"/>
      </top>
      <bottom/>
      <diagonal/>
    </border>
    <border>
      <left/>
      <right style="thin">
        <color rgb="FF45B0E1"/>
      </right>
      <top style="thin">
        <color rgb="FF45B0E1"/>
      </top>
      <bottom/>
      <diagonal/>
    </border>
    <border>
      <left/>
      <right style="thin">
        <color rgb="FF8ED873"/>
      </right>
      <top style="thin">
        <color rgb="FF8ED873"/>
      </top>
      <bottom/>
      <diagonal/>
    </border>
    <border>
      <left style="thin">
        <color rgb="FF4D94D8"/>
      </left>
      <right/>
      <top style="thin">
        <color rgb="FF4D94D8"/>
      </top>
      <bottom/>
      <diagonal/>
    </border>
    <border>
      <left/>
      <right/>
      <top style="thin">
        <color rgb="FF4D94D8"/>
      </top>
      <bottom/>
      <diagonal/>
    </border>
    <border>
      <left style="thin">
        <color rgb="FF45B0E1"/>
      </left>
      <right/>
      <top/>
      <bottom/>
      <diagonal/>
    </border>
    <border>
      <left style="thin">
        <color rgb="FF8ED873"/>
      </left>
      <right/>
      <top/>
      <bottom/>
      <diagonal/>
    </border>
    <border>
      <left/>
      <right style="thin">
        <color rgb="FF45B0E1"/>
      </right>
      <top/>
      <bottom/>
      <diagonal/>
    </border>
    <border>
      <left/>
      <right style="thin">
        <color rgb="FF8ED873"/>
      </right>
      <top/>
      <bottom/>
      <diagonal/>
    </border>
    <border>
      <left/>
      <right style="thin">
        <color rgb="FF4D94D8"/>
      </right>
      <top style="thin">
        <color rgb="FF4D94D8"/>
      </top>
      <bottom/>
      <diagonal/>
    </border>
    <border>
      <left style="thin">
        <color rgb="FF45B0E1"/>
      </left>
      <right/>
      <top/>
      <bottom style="thin">
        <color rgb="FF45B0E1"/>
      </bottom>
      <diagonal/>
    </border>
    <border>
      <left style="thin">
        <color rgb="FF8ED873"/>
      </left>
      <right/>
      <top/>
      <bottom style="thin">
        <color rgb="FF8ED873"/>
      </bottom>
      <diagonal/>
    </border>
    <border>
      <left style="thin">
        <color rgb="FF4D94D8"/>
      </left>
      <right/>
      <top/>
      <bottom/>
      <diagonal/>
    </border>
    <border>
      <left/>
      <right/>
      <top/>
      <bottom style="thin">
        <color rgb="FF45B0E1"/>
      </bottom>
      <diagonal/>
    </border>
    <border>
      <left/>
      <right style="thin">
        <color rgb="FF45B0E1"/>
      </right>
      <top/>
      <bottom style="thin">
        <color rgb="FF45B0E1"/>
      </bottom>
      <diagonal/>
    </border>
    <border>
      <left/>
      <right/>
      <top/>
      <bottom style="thin">
        <color rgb="FF8ED873"/>
      </bottom>
      <diagonal/>
    </border>
    <border>
      <left/>
      <right style="thin">
        <color rgb="FF8ED873"/>
      </right>
      <top/>
      <bottom style="thin">
        <color rgb="FF8ED873"/>
      </bottom>
      <diagonal/>
    </border>
    <border>
      <left/>
      <right style="thin">
        <color rgb="FF4D94D8"/>
      </right>
      <top/>
      <bottom/>
      <diagonal/>
    </border>
    <border>
      <left style="thin">
        <color rgb="FF4D94D8"/>
      </left>
      <right/>
      <top/>
      <bottom style="thin">
        <color rgb="FF4D94D8"/>
      </bottom>
      <diagonal/>
    </border>
    <border>
      <left/>
      <right style="thin">
        <color rgb="FF4D94D8"/>
      </right>
      <top/>
      <bottom style="thin">
        <color rgb="FF4D94D8"/>
      </bottom>
      <diagonal/>
    </border>
    <border>
      <left style="thin">
        <color rgb="FFF1A983"/>
      </left>
      <right/>
      <top style="thin">
        <color rgb="FFF1A983"/>
      </top>
      <bottom/>
      <diagonal/>
    </border>
    <border>
      <left/>
      <right/>
      <top style="thin">
        <color rgb="FFF1A983"/>
      </top>
      <bottom/>
      <diagonal/>
    </border>
    <border>
      <left/>
      <right style="thin">
        <color rgb="FFF1A983"/>
      </right>
      <top style="thin">
        <color rgb="FFF1A983"/>
      </top>
      <bottom/>
      <diagonal/>
    </border>
    <border>
      <left style="thin">
        <color rgb="FFF1A983"/>
      </left>
      <right/>
      <top/>
      <bottom/>
      <diagonal/>
    </border>
    <border>
      <left/>
      <right style="thin">
        <color rgb="FFF1A983"/>
      </right>
      <top/>
      <bottom/>
      <diagonal/>
    </border>
    <border>
      <left style="thin">
        <color rgb="FFF1A983"/>
      </left>
      <right/>
      <top/>
      <bottom style="thin">
        <color rgb="FFF1A983"/>
      </bottom>
      <diagonal/>
    </border>
    <border>
      <left/>
      <right/>
      <top/>
      <bottom style="thin">
        <color rgb="FFF1A983"/>
      </bottom>
      <diagonal/>
    </border>
    <border>
      <left/>
      <right style="thin">
        <color rgb="FFF1A983"/>
      </right>
      <top/>
      <bottom style="thin">
        <color rgb="FFF1A983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1" fillId="2" borderId="4" xfId="0" applyFont="1" applyFill="1" applyBorder="1"/>
    <xf numFmtId="0" fontId="1" fillId="3" borderId="5" xfId="0" applyFont="1" applyFill="1" applyBorder="1"/>
    <xf numFmtId="0" fontId="2" fillId="0" borderId="0" xfId="0" applyFont="1" applyAlignment="1">
      <alignment vertical="center"/>
    </xf>
    <xf numFmtId="0" fontId="4" fillId="0" borderId="0" xfId="0" applyFont="1"/>
    <xf numFmtId="0" fontId="1" fillId="2" borderId="6" xfId="0" applyFont="1" applyFill="1" applyBorder="1"/>
    <xf numFmtId="0" fontId="1" fillId="3" borderId="7" xfId="0" applyFont="1" applyFill="1" applyBorder="1"/>
    <xf numFmtId="0" fontId="1" fillId="4" borderId="8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left"/>
    </xf>
    <xf numFmtId="0" fontId="4" fillId="0" borderId="10" xfId="0" applyFont="1" applyBorder="1"/>
    <xf numFmtId="164" fontId="4" fillId="0" borderId="0" xfId="0" applyNumberFormat="1" applyFont="1"/>
    <xf numFmtId="0" fontId="4" fillId="0" borderId="11" xfId="0" applyFont="1" applyBorder="1"/>
    <xf numFmtId="0" fontId="1" fillId="5" borderId="9" xfId="0" applyFont="1" applyFill="1" applyBorder="1"/>
    <xf numFmtId="164" fontId="4" fillId="0" borderId="12" xfId="0" applyNumberFormat="1" applyFont="1" applyBorder="1"/>
    <xf numFmtId="164" fontId="4" fillId="0" borderId="13" xfId="0" applyNumberFormat="1" applyFont="1" applyBorder="1"/>
    <xf numFmtId="0" fontId="1" fillId="4" borderId="14" xfId="0" applyFont="1" applyFill="1" applyBorder="1" applyAlignment="1">
      <alignment horizontal="left"/>
    </xf>
    <xf numFmtId="0" fontId="1" fillId="5" borderId="14" xfId="0" applyFont="1" applyFill="1" applyBorder="1"/>
    <xf numFmtId="0" fontId="1" fillId="3" borderId="2" xfId="0" applyFont="1" applyFill="1" applyBorder="1" applyAlignment="1">
      <alignment horizontal="left"/>
    </xf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1" fillId="3" borderId="7" xfId="0" applyFont="1" applyFill="1" applyBorder="1" applyAlignment="1">
      <alignment horizontal="left"/>
    </xf>
    <xf numFmtId="164" fontId="4" fillId="0" borderId="18" xfId="0" applyNumberFormat="1" applyFont="1" applyBorder="1"/>
    <xf numFmtId="164" fontId="4" fillId="0" borderId="19" xfId="0" applyNumberFormat="1" applyFont="1" applyBorder="1"/>
    <xf numFmtId="164" fontId="4" fillId="0" borderId="20" xfId="0" applyNumberFormat="1" applyFont="1" applyBorder="1"/>
    <xf numFmtId="165" fontId="4" fillId="0" borderId="0" xfId="0" applyNumberFormat="1" applyFont="1"/>
    <xf numFmtId="16" fontId="4" fillId="0" borderId="17" xfId="0" applyNumberFormat="1" applyFont="1" applyBorder="1"/>
    <xf numFmtId="164" fontId="4" fillId="0" borderId="21" xfId="0" applyNumberFormat="1" applyFont="1" applyBorder="1"/>
    <xf numFmtId="165" fontId="4" fillId="0" borderId="22" xfId="0" applyNumberFormat="1" applyFont="1" applyBorder="1"/>
    <xf numFmtId="165" fontId="4" fillId="0" borderId="13" xfId="0" applyNumberFormat="1" applyFont="1" applyBorder="1"/>
    <xf numFmtId="165" fontId="4" fillId="0" borderId="21" xfId="0" applyNumberFormat="1" applyFont="1" applyBorder="1"/>
    <xf numFmtId="16" fontId="4" fillId="0" borderId="23" xfId="0" applyNumberFormat="1" applyFont="1" applyBorder="1"/>
    <xf numFmtId="0" fontId="4" fillId="0" borderId="3" xfId="0" applyFont="1" applyBorder="1"/>
    <xf numFmtId="165" fontId="4" fillId="0" borderId="24" xfId="0" applyNumberFormat="1" applyFont="1" applyBorder="1"/>
    <xf numFmtId="0" fontId="4" fillId="0" borderId="23" xfId="0" applyFont="1" applyBorder="1"/>
    <xf numFmtId="165" fontId="4" fillId="0" borderId="3" xfId="0" applyNumberFormat="1" applyFont="1" applyBorder="1"/>
    <xf numFmtId="0" fontId="1" fillId="6" borderId="25" xfId="0" applyFont="1" applyFill="1" applyBorder="1"/>
    <xf numFmtId="0" fontId="1" fillId="6" borderId="26" xfId="0" applyFont="1" applyFill="1" applyBorder="1"/>
    <xf numFmtId="0" fontId="1" fillId="6" borderId="27" xfId="0" applyFont="1" applyFill="1" applyBorder="1"/>
    <xf numFmtId="0" fontId="4" fillId="0" borderId="0" xfId="0" applyFont="1" applyAlignment="1">
      <alignment horizontal="center"/>
    </xf>
    <xf numFmtId="0" fontId="4" fillId="0" borderId="28" xfId="0" applyFont="1" applyBorder="1"/>
    <xf numFmtId="164" fontId="4" fillId="0" borderId="29" xfId="0" applyNumberFormat="1" applyFont="1" applyBorder="1"/>
    <xf numFmtId="0" fontId="4" fillId="0" borderId="30" xfId="0" applyFont="1" applyBorder="1"/>
    <xf numFmtId="164" fontId="4" fillId="0" borderId="31" xfId="0" applyNumberFormat="1" applyFont="1" applyBorder="1"/>
    <xf numFmtId="164" fontId="4" fillId="0" borderId="32" xfId="0" applyNumberFormat="1" applyFont="1" applyBorder="1"/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3" fillId="0" borderId="3" xfId="0" applyFont="1" applyBorder="1"/>
    <xf numFmtId="16" fontId="0" fillId="0" borderId="0" xfId="0" applyNumberFormat="1"/>
    <xf numFmtId="165" fontId="0" fillId="0" borderId="0" xfId="0" applyNumberFormat="1"/>
    <xf numFmtId="16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" workbookViewId="0">
      <selection activeCell="F19" sqref="F19"/>
    </sheetView>
  </sheetViews>
  <sheetFormatPr defaultColWidth="12.6640625" defaultRowHeight="15" customHeight="1"/>
  <cols>
    <col min="1" max="2" width="20" customWidth="1"/>
    <col min="3" max="3" width="19" customWidth="1"/>
    <col min="4" max="4" width="19.109375" customWidth="1"/>
    <col min="5" max="5" width="21.21875" customWidth="1"/>
    <col min="6" max="6" width="20.6640625" customWidth="1"/>
    <col min="7" max="7" width="13.88671875" customWidth="1"/>
    <col min="8" max="26" width="9.109375" customWidth="1"/>
  </cols>
  <sheetData>
    <row r="1" spans="1:26" ht="34.5" customHeight="1">
      <c r="A1" s="48" t="s">
        <v>0</v>
      </c>
      <c r="B1" s="49"/>
      <c r="C1" s="49"/>
      <c r="D1" s="49"/>
      <c r="E1" s="49"/>
      <c r="F1" s="49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25" customHeight="1">
      <c r="A2" s="9" t="s">
        <v>6</v>
      </c>
      <c r="B2" s="10" t="s">
        <v>7</v>
      </c>
      <c r="C2" s="17" t="s">
        <v>11</v>
      </c>
      <c r="D2" s="6"/>
      <c r="E2" s="19" t="s">
        <v>7</v>
      </c>
      <c r="F2" s="23" t="s">
        <v>11</v>
      </c>
      <c r="G2" s="6"/>
      <c r="H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7.25" customHeight="1">
      <c r="A3" s="28">
        <v>45658</v>
      </c>
      <c r="B3" s="6" t="s">
        <v>32</v>
      </c>
      <c r="C3" s="30">
        <v>1250</v>
      </c>
      <c r="D3" s="6"/>
      <c r="E3" s="13" t="s">
        <v>32</v>
      </c>
      <c r="F3" s="31">
        <v>10960</v>
      </c>
      <c r="G3" s="6"/>
      <c r="H3" s="6"/>
      <c r="I3" s="52"/>
      <c r="K3" s="53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7.25" customHeight="1">
      <c r="A4" s="28">
        <v>45658</v>
      </c>
      <c r="B4" s="6" t="s">
        <v>34</v>
      </c>
      <c r="C4" s="30">
        <v>980</v>
      </c>
      <c r="D4" s="6"/>
      <c r="E4" s="13" t="s">
        <v>34</v>
      </c>
      <c r="F4" s="31">
        <v>5280</v>
      </c>
      <c r="G4" s="6"/>
      <c r="H4" s="6"/>
      <c r="I4" s="52"/>
      <c r="K4" s="53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7.25" customHeight="1">
      <c r="A5" s="28">
        <v>45660</v>
      </c>
      <c r="B5" s="6" t="s">
        <v>32</v>
      </c>
      <c r="C5" s="30">
        <v>1540</v>
      </c>
      <c r="D5" s="6"/>
      <c r="E5" s="13" t="s">
        <v>35</v>
      </c>
      <c r="F5" s="31">
        <v>2690</v>
      </c>
      <c r="G5" s="6"/>
      <c r="H5" s="6"/>
      <c r="I5" s="52"/>
      <c r="K5" s="53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7.25" customHeight="1">
      <c r="A6" s="28">
        <v>45661</v>
      </c>
      <c r="B6" s="6" t="s">
        <v>35</v>
      </c>
      <c r="C6" s="30">
        <v>620</v>
      </c>
      <c r="D6" s="6"/>
      <c r="E6" s="21" t="s">
        <v>36</v>
      </c>
      <c r="F6" s="32">
        <v>8410</v>
      </c>
      <c r="G6" s="6"/>
      <c r="H6" s="6"/>
      <c r="I6" s="52"/>
      <c r="K6" s="53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7.25" customHeight="1">
      <c r="A7" s="28">
        <v>45662</v>
      </c>
      <c r="B7" s="6" t="s">
        <v>32</v>
      </c>
      <c r="C7" s="30">
        <v>1310</v>
      </c>
      <c r="D7" s="6"/>
      <c r="E7" s="6"/>
      <c r="F7" s="6"/>
      <c r="G7" s="6"/>
      <c r="H7" s="6"/>
      <c r="I7" s="52"/>
      <c r="K7" s="53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7.25" customHeight="1">
      <c r="A8" s="28">
        <v>45663</v>
      </c>
      <c r="B8" s="6" t="s">
        <v>36</v>
      </c>
      <c r="C8" s="30">
        <v>2200</v>
      </c>
      <c r="D8" s="6"/>
      <c r="E8" s="6"/>
      <c r="F8" s="6"/>
      <c r="G8" s="6"/>
      <c r="H8" s="6"/>
      <c r="I8" s="52"/>
      <c r="K8" s="53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7.25" customHeight="1">
      <c r="A9" s="28">
        <v>45664</v>
      </c>
      <c r="B9" s="6" t="s">
        <v>34</v>
      </c>
      <c r="C9" s="30">
        <v>1120</v>
      </c>
      <c r="D9" s="6"/>
      <c r="E9" s="6"/>
      <c r="F9" s="6"/>
      <c r="G9" s="6"/>
      <c r="H9" s="6"/>
      <c r="I9" s="52"/>
      <c r="K9" s="53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7.25" customHeight="1">
      <c r="A10" s="28">
        <v>45665</v>
      </c>
      <c r="B10" s="6" t="s">
        <v>35</v>
      </c>
      <c r="C10" s="30">
        <v>700</v>
      </c>
      <c r="D10" s="6"/>
      <c r="E10" s="6"/>
      <c r="F10" s="6"/>
      <c r="G10" s="6"/>
      <c r="H10" s="6"/>
      <c r="I10" s="52"/>
      <c r="K10" s="53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7.25" customHeight="1">
      <c r="A11" s="28">
        <v>45667</v>
      </c>
      <c r="B11" s="6" t="s">
        <v>32</v>
      </c>
      <c r="C11" s="30">
        <v>1890</v>
      </c>
      <c r="D11" s="6"/>
      <c r="E11" s="6"/>
      <c r="F11" s="6"/>
      <c r="G11" s="6"/>
      <c r="H11" s="6"/>
      <c r="I11" s="52"/>
      <c r="K11" s="53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7.25" customHeight="1">
      <c r="A12" s="28">
        <v>45667</v>
      </c>
      <c r="B12" s="6" t="s">
        <v>36</v>
      </c>
      <c r="C12" s="30">
        <v>1760</v>
      </c>
      <c r="D12" s="6"/>
      <c r="E12" s="6"/>
      <c r="F12" s="6"/>
      <c r="G12" s="6"/>
      <c r="H12" s="6"/>
      <c r="I12" s="54"/>
      <c r="K12" s="53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7.25" customHeight="1">
      <c r="A13" s="28">
        <v>45669</v>
      </c>
      <c r="B13" s="6" t="s">
        <v>34</v>
      </c>
      <c r="C13" s="30">
        <v>1050</v>
      </c>
      <c r="D13" s="6"/>
      <c r="E13" s="6"/>
      <c r="F13" s="6"/>
      <c r="G13" s="6"/>
      <c r="H13" s="6"/>
      <c r="I13" s="52"/>
      <c r="K13" s="53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7.25" customHeight="1">
      <c r="A14" s="28">
        <v>45669</v>
      </c>
      <c r="B14" s="6" t="s">
        <v>32</v>
      </c>
      <c r="C14" s="30">
        <v>1420</v>
      </c>
      <c r="D14" s="6"/>
      <c r="E14" s="6"/>
      <c r="F14" s="6"/>
      <c r="G14" s="6"/>
      <c r="H14" s="6"/>
      <c r="I14" s="52"/>
      <c r="K14" s="53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7.25" customHeight="1">
      <c r="A15" s="28">
        <v>45670</v>
      </c>
      <c r="B15" s="6" t="s">
        <v>35</v>
      </c>
      <c r="C15" s="30">
        <v>660</v>
      </c>
      <c r="D15" s="6"/>
      <c r="E15" s="6"/>
      <c r="F15" s="6"/>
      <c r="G15" s="6"/>
      <c r="H15" s="6"/>
      <c r="I15" s="52"/>
      <c r="K15" s="53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7.25" customHeight="1">
      <c r="A16" s="28">
        <v>45671</v>
      </c>
      <c r="B16" s="6" t="s">
        <v>36</v>
      </c>
      <c r="C16" s="30">
        <v>2340</v>
      </c>
      <c r="D16" s="6"/>
      <c r="E16" s="6"/>
      <c r="F16" s="6"/>
      <c r="G16" s="27"/>
      <c r="H16" s="6"/>
      <c r="I16" s="52"/>
      <c r="K16" s="53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7.25" customHeight="1">
      <c r="A17" s="28">
        <v>45672</v>
      </c>
      <c r="B17" s="6" t="s">
        <v>32</v>
      </c>
      <c r="C17" s="30">
        <v>1670</v>
      </c>
      <c r="D17" s="6"/>
      <c r="E17" s="6"/>
      <c r="F17" s="6"/>
      <c r="G17" s="6"/>
      <c r="H17" s="6"/>
      <c r="I17" s="52"/>
      <c r="K17" s="53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7.25" customHeight="1">
      <c r="A18" s="28">
        <v>45673</v>
      </c>
      <c r="B18" s="6" t="s">
        <v>34</v>
      </c>
      <c r="C18" s="30">
        <v>930</v>
      </c>
      <c r="D18" s="6"/>
      <c r="E18" s="6"/>
      <c r="F18" s="6"/>
      <c r="G18" s="6"/>
      <c r="H18" s="6"/>
      <c r="I18" s="52"/>
      <c r="K18" s="53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7.25" customHeight="1">
      <c r="A19" s="28">
        <v>45673</v>
      </c>
      <c r="B19" s="6" t="s">
        <v>35</v>
      </c>
      <c r="C19" s="30">
        <v>710</v>
      </c>
      <c r="D19" s="6"/>
      <c r="E19" s="6"/>
      <c r="F19" s="6"/>
      <c r="G19" s="6"/>
      <c r="H19" s="6"/>
      <c r="I19" s="52"/>
      <c r="K19" s="53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7.25" customHeight="1">
      <c r="A20" s="28">
        <v>45673</v>
      </c>
      <c r="B20" s="6" t="s">
        <v>32</v>
      </c>
      <c r="C20" s="30">
        <v>1880</v>
      </c>
      <c r="D20" s="6"/>
      <c r="E20" s="6"/>
      <c r="F20" s="6"/>
      <c r="G20" s="6"/>
      <c r="H20" s="6"/>
      <c r="I20" s="52"/>
      <c r="K20" s="53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7.25" customHeight="1">
      <c r="A21" s="28">
        <v>45676</v>
      </c>
      <c r="B21" s="6" t="s">
        <v>36</v>
      </c>
      <c r="C21" s="30">
        <v>2110</v>
      </c>
      <c r="D21" s="6"/>
      <c r="E21" s="6"/>
      <c r="F21" s="6"/>
      <c r="G21" s="6"/>
      <c r="H21" s="6"/>
      <c r="I21" s="52"/>
      <c r="K21" s="53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7.25" customHeight="1">
      <c r="A22" s="33">
        <v>45677</v>
      </c>
      <c r="B22" s="34" t="s">
        <v>34</v>
      </c>
      <c r="C22" s="35">
        <v>1200</v>
      </c>
      <c r="D22" s="6"/>
      <c r="E22" s="6"/>
      <c r="F22" s="6"/>
      <c r="G22" s="6"/>
      <c r="H22" s="6"/>
      <c r="I22" s="52"/>
      <c r="K22" s="53"/>
      <c r="M22" s="6"/>
      <c r="N22" s="6"/>
      <c r="O22" s="6"/>
      <c r="P22" s="6"/>
      <c r="Q22" s="6"/>
      <c r="R22" s="6"/>
      <c r="S22" s="6" t="s">
        <v>40</v>
      </c>
      <c r="T22" s="6"/>
      <c r="U22" s="6"/>
      <c r="V22" s="6"/>
      <c r="W22" s="6"/>
      <c r="X22" s="6"/>
      <c r="Y22" s="6"/>
      <c r="Z22" s="6"/>
    </row>
    <row r="23" spans="1:26" ht="17.25" customHeight="1">
      <c r="A23" s="6"/>
      <c r="B23" s="6"/>
      <c r="C23" s="6"/>
      <c r="D23" s="6"/>
      <c r="E23" s="6"/>
      <c r="F23" s="6"/>
      <c r="G23" s="6"/>
      <c r="H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7.25" customHeight="1">
      <c r="A24" s="6"/>
      <c r="B24" s="6"/>
      <c r="C24" s="6"/>
      <c r="D24" s="6"/>
      <c r="E24" s="6"/>
      <c r="F24" s="6"/>
      <c r="G24" s="6"/>
      <c r="H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7.25" customHeight="1">
      <c r="A25" s="6"/>
      <c r="B25" s="6"/>
      <c r="C25" s="6"/>
      <c r="D25" s="6"/>
      <c r="E25" s="6"/>
      <c r="F25" s="6"/>
      <c r="G25" s="6"/>
      <c r="H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6"/>
      <c r="C26" s="6"/>
      <c r="D26" s="6"/>
      <c r="E26" s="6"/>
      <c r="F26" s="6"/>
      <c r="G26" s="6"/>
      <c r="H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6"/>
      <c r="C27" s="6"/>
      <c r="D27" s="6"/>
      <c r="E27" s="6"/>
      <c r="F27" s="6"/>
      <c r="G27" s="6"/>
      <c r="H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Consolidate topLabels="1">
    <dataRefs count="1">
      <dataRef ref="A2:C22" sheet="Consolidate rows"/>
    </dataRefs>
  </dataConsolidate>
  <mergeCells count="1">
    <mergeCell ref="A1:F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G12" sqref="G12"/>
    </sheetView>
  </sheetViews>
  <sheetFormatPr defaultColWidth="12.6640625" defaultRowHeight="15" customHeight="1"/>
  <cols>
    <col min="1" max="1" width="25.21875" customWidth="1"/>
    <col min="2" max="3" width="19" customWidth="1"/>
    <col min="4" max="5" width="19.109375" customWidth="1"/>
    <col min="6" max="6" width="21.21875" customWidth="1"/>
    <col min="7" max="7" width="20" customWidth="1"/>
    <col min="8" max="8" width="9.33203125" customWidth="1"/>
    <col min="9" max="26" width="9.109375" customWidth="1"/>
  </cols>
  <sheetData>
    <row r="1" spans="1:26" ht="34.5" customHeight="1">
      <c r="A1" s="50" t="s">
        <v>2</v>
      </c>
      <c r="B1" s="51"/>
      <c r="C1" s="51"/>
      <c r="D1" s="51"/>
      <c r="E1" s="51"/>
      <c r="F1" s="51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25" customHeight="1">
      <c r="A2" s="9" t="s">
        <v>7</v>
      </c>
      <c r="B2" s="10" t="s">
        <v>3</v>
      </c>
      <c r="C2" s="10" t="s">
        <v>4</v>
      </c>
      <c r="D2" s="10" t="s">
        <v>5</v>
      </c>
      <c r="E2" s="14" t="s">
        <v>10</v>
      </c>
      <c r="F2" s="18" t="s">
        <v>12</v>
      </c>
      <c r="G2" s="6"/>
      <c r="H2" s="6"/>
      <c r="I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7.25" customHeight="1">
      <c r="A3" s="22" t="s">
        <v>31</v>
      </c>
      <c r="B3" s="27">
        <v>1200</v>
      </c>
      <c r="C3" s="27">
        <v>1400</v>
      </c>
      <c r="D3" s="27">
        <v>1650</v>
      </c>
      <c r="E3" s="27">
        <f>SUM(B3:D3)</f>
        <v>4250</v>
      </c>
      <c r="F3" s="30">
        <f>AVERAGE(B3:D3)</f>
        <v>1416.6666666666667</v>
      </c>
      <c r="G3" s="27"/>
      <c r="H3" s="27"/>
      <c r="I3" s="2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7.25" customHeight="1">
      <c r="A4" s="22" t="s">
        <v>33</v>
      </c>
      <c r="B4" s="27">
        <v>1450</v>
      </c>
      <c r="C4" s="27">
        <v>1320</v>
      </c>
      <c r="D4" s="27">
        <v>1750</v>
      </c>
      <c r="E4" s="27">
        <f t="shared" ref="E4:E17" si="0">SUM(B4:D4)</f>
        <v>4520</v>
      </c>
      <c r="F4" s="30">
        <f t="shared" ref="F4:F17" si="1">AVERAGE(B4:D4)</f>
        <v>1506.6666666666667</v>
      </c>
      <c r="G4" s="27"/>
      <c r="H4" s="27"/>
      <c r="I4" s="2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7.25" customHeight="1">
      <c r="A5" s="22" t="s">
        <v>36</v>
      </c>
      <c r="B5" s="27">
        <v>1600</v>
      </c>
      <c r="C5" s="27">
        <v>1600</v>
      </c>
      <c r="D5" s="27">
        <v>1180</v>
      </c>
      <c r="E5" s="27">
        <f t="shared" si="0"/>
        <v>4380</v>
      </c>
      <c r="F5" s="30">
        <f t="shared" si="1"/>
        <v>1460</v>
      </c>
      <c r="G5" s="27"/>
      <c r="H5" s="27"/>
      <c r="I5" s="2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7.25" customHeight="1">
      <c r="A6" s="22" t="s">
        <v>37</v>
      </c>
      <c r="B6" s="27">
        <v>1150</v>
      </c>
      <c r="C6" s="27">
        <v>1750</v>
      </c>
      <c r="D6" s="27">
        <v>1450</v>
      </c>
      <c r="E6" s="27">
        <f t="shared" si="0"/>
        <v>4350</v>
      </c>
      <c r="F6" s="30">
        <f t="shared" si="1"/>
        <v>1450</v>
      </c>
      <c r="G6" s="27"/>
      <c r="H6" s="27"/>
      <c r="I6" s="2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7.25" customHeight="1">
      <c r="A7" s="22" t="s">
        <v>38</v>
      </c>
      <c r="B7" s="27">
        <v>1250</v>
      </c>
      <c r="C7" s="27">
        <v>1800</v>
      </c>
      <c r="D7" s="27">
        <v>2000</v>
      </c>
      <c r="E7" s="27">
        <f t="shared" si="0"/>
        <v>5050</v>
      </c>
      <c r="F7" s="30">
        <f t="shared" si="1"/>
        <v>1683.3333333333333</v>
      </c>
      <c r="G7" s="27"/>
      <c r="H7" s="27"/>
      <c r="I7" s="2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7.25" customHeight="1">
      <c r="A8" s="22" t="s">
        <v>39</v>
      </c>
      <c r="B8" s="27">
        <v>1850</v>
      </c>
      <c r="C8" s="27">
        <v>1500</v>
      </c>
      <c r="D8" s="27">
        <v>1120</v>
      </c>
      <c r="E8" s="27">
        <f t="shared" si="0"/>
        <v>4470</v>
      </c>
      <c r="F8" s="30">
        <f t="shared" si="1"/>
        <v>1490</v>
      </c>
      <c r="G8" s="27"/>
      <c r="H8" s="27"/>
      <c r="I8" s="2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7.25" customHeight="1">
      <c r="A9" s="22" t="s">
        <v>41</v>
      </c>
      <c r="B9" s="27">
        <v>1350</v>
      </c>
      <c r="C9" s="27">
        <v>1010</v>
      </c>
      <c r="D9" s="27">
        <v>1250</v>
      </c>
      <c r="E9" s="27">
        <f t="shared" si="0"/>
        <v>3610</v>
      </c>
      <c r="F9" s="30">
        <f t="shared" si="1"/>
        <v>1203.3333333333333</v>
      </c>
      <c r="G9" s="27"/>
      <c r="H9" s="27"/>
      <c r="I9" s="2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7.25" customHeight="1">
      <c r="A10" s="22" t="s">
        <v>34</v>
      </c>
      <c r="B10" s="27">
        <v>1200</v>
      </c>
      <c r="C10" s="27">
        <v>1550</v>
      </c>
      <c r="D10" s="27">
        <v>1550</v>
      </c>
      <c r="E10" s="27">
        <f t="shared" si="0"/>
        <v>4300</v>
      </c>
      <c r="F10" s="30">
        <f t="shared" si="1"/>
        <v>1433.3333333333333</v>
      </c>
      <c r="G10" s="27"/>
      <c r="H10" s="27"/>
      <c r="I10" s="2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7.25" customHeight="1">
      <c r="A11" s="22" t="s">
        <v>42</v>
      </c>
      <c r="B11" s="27">
        <v>1950</v>
      </c>
      <c r="C11" s="27">
        <v>1700</v>
      </c>
      <c r="D11" s="27">
        <v>1900</v>
      </c>
      <c r="E11" s="27">
        <f t="shared" si="0"/>
        <v>5550</v>
      </c>
      <c r="F11" s="30">
        <f t="shared" si="1"/>
        <v>1850</v>
      </c>
      <c r="G11" s="27"/>
      <c r="H11" s="27"/>
      <c r="I11" s="2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7.25" customHeight="1">
      <c r="A12" s="22" t="s">
        <v>43</v>
      </c>
      <c r="B12" s="27">
        <v>1350</v>
      </c>
      <c r="C12" s="27">
        <v>1080</v>
      </c>
      <c r="D12" s="27">
        <v>1500</v>
      </c>
      <c r="E12" s="27">
        <f t="shared" si="0"/>
        <v>3930</v>
      </c>
      <c r="F12" s="30">
        <f t="shared" si="1"/>
        <v>1310</v>
      </c>
      <c r="G12" s="27"/>
      <c r="H12" s="27"/>
      <c r="I12" s="2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7.25" customHeight="1">
      <c r="A13" s="22" t="s">
        <v>44</v>
      </c>
      <c r="B13" s="27">
        <v>1400</v>
      </c>
      <c r="C13" s="27">
        <v>1000</v>
      </c>
      <c r="D13" s="27">
        <v>1650</v>
      </c>
      <c r="E13" s="27">
        <f t="shared" si="0"/>
        <v>4050</v>
      </c>
      <c r="F13" s="30">
        <f t="shared" si="1"/>
        <v>1350</v>
      </c>
      <c r="G13" s="27"/>
      <c r="H13" s="27"/>
      <c r="I13" s="2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7.25" customHeight="1">
      <c r="A14" s="22" t="s">
        <v>45</v>
      </c>
      <c r="B14" s="27">
        <v>1100</v>
      </c>
      <c r="C14" s="27">
        <v>1450</v>
      </c>
      <c r="D14" s="27">
        <v>1600</v>
      </c>
      <c r="E14" s="27">
        <f t="shared" si="0"/>
        <v>4150</v>
      </c>
      <c r="F14" s="30">
        <f t="shared" si="1"/>
        <v>1383.3333333333333</v>
      </c>
      <c r="G14" s="27"/>
      <c r="H14" s="27"/>
      <c r="I14" s="2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7.25" customHeight="1">
      <c r="A15" s="22" t="s">
        <v>46</v>
      </c>
      <c r="B15" s="27">
        <v>1300</v>
      </c>
      <c r="C15" s="27">
        <v>1700</v>
      </c>
      <c r="D15" s="27">
        <v>1550</v>
      </c>
      <c r="E15" s="27">
        <f t="shared" si="0"/>
        <v>4550</v>
      </c>
      <c r="F15" s="30">
        <f t="shared" si="1"/>
        <v>1516.6666666666667</v>
      </c>
      <c r="G15" s="27"/>
      <c r="H15" s="27"/>
      <c r="I15" s="2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7.25" customHeight="1">
      <c r="A16" s="22" t="s">
        <v>32</v>
      </c>
      <c r="B16" s="27">
        <v>1250</v>
      </c>
      <c r="C16" s="27">
        <v>1300</v>
      </c>
      <c r="D16" s="27">
        <v>1800</v>
      </c>
      <c r="E16" s="27">
        <f t="shared" si="0"/>
        <v>4350</v>
      </c>
      <c r="F16" s="30">
        <f t="shared" si="1"/>
        <v>1450</v>
      </c>
      <c r="G16" s="27"/>
      <c r="H16" s="27"/>
      <c r="I16" s="2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7.25" customHeight="1">
      <c r="A17" s="36" t="s">
        <v>47</v>
      </c>
      <c r="B17" s="37">
        <v>1500</v>
      </c>
      <c r="C17" s="37">
        <v>1050</v>
      </c>
      <c r="D17" s="37">
        <v>1400</v>
      </c>
      <c r="E17" s="27">
        <f t="shared" si="0"/>
        <v>3950</v>
      </c>
      <c r="F17" s="30">
        <f t="shared" si="1"/>
        <v>1316.6666666666667</v>
      </c>
      <c r="G17" s="27"/>
      <c r="H17" s="27"/>
      <c r="I17" s="2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7.25" customHeight="1">
      <c r="A18" s="6"/>
      <c r="B18" s="6"/>
      <c r="C18" s="6"/>
      <c r="D18" s="6"/>
      <c r="E18" s="6"/>
      <c r="F18" s="6"/>
      <c r="G18" s="6"/>
      <c r="H18" s="6"/>
      <c r="I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7.25" customHeight="1">
      <c r="A19" s="6"/>
      <c r="B19" s="6"/>
      <c r="C19" s="6"/>
      <c r="D19" s="6"/>
      <c r="E19" s="6"/>
      <c r="F19" s="6"/>
      <c r="G19" s="6"/>
      <c r="H19" s="6"/>
      <c r="I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7.25" customHeight="1">
      <c r="A20" s="6"/>
      <c r="B20" s="6"/>
      <c r="C20" s="6"/>
      <c r="D20" s="6"/>
      <c r="E20" s="6"/>
      <c r="F20" s="6"/>
      <c r="G20" s="6"/>
      <c r="H20" s="6"/>
      <c r="I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7.25" customHeight="1">
      <c r="A21" s="6"/>
      <c r="B21" s="6"/>
      <c r="C21" s="6"/>
      <c r="D21" s="6"/>
      <c r="E21" s="6"/>
      <c r="F21" s="6"/>
      <c r="G21" s="6"/>
      <c r="H21" s="6"/>
      <c r="I21" s="41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7.25" customHeight="1">
      <c r="A22" s="6"/>
      <c r="B22" s="6"/>
      <c r="C22" s="6"/>
      <c r="D22" s="6"/>
      <c r="E22" s="6"/>
      <c r="F22" s="6"/>
      <c r="G22" s="6"/>
      <c r="H22" s="6"/>
      <c r="I22" s="6"/>
      <c r="N22" s="6"/>
      <c r="O22" s="6"/>
      <c r="P22" s="6"/>
      <c r="Q22" s="6"/>
      <c r="R22" s="6"/>
      <c r="S22" s="6"/>
      <c r="T22" s="6" t="s">
        <v>40</v>
      </c>
      <c r="U22" s="6"/>
      <c r="V22" s="6"/>
      <c r="W22" s="6"/>
      <c r="X22" s="6"/>
      <c r="Y22" s="6"/>
      <c r="Z22" s="6"/>
    </row>
    <row r="23" spans="1:26" ht="17.25" customHeight="1">
      <c r="A23" s="6"/>
      <c r="B23" s="6"/>
      <c r="C23" s="6"/>
      <c r="D23" s="6"/>
      <c r="E23" s="6"/>
      <c r="F23" s="6"/>
      <c r="G23" s="6"/>
      <c r="H23" s="6"/>
      <c r="I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7.25" customHeight="1">
      <c r="A24" s="6"/>
      <c r="B24" s="6"/>
      <c r="C24" s="6"/>
      <c r="D24" s="6"/>
      <c r="E24" s="6"/>
      <c r="F24" s="6"/>
      <c r="G24" s="6"/>
      <c r="H24" s="6"/>
      <c r="I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7.25" customHeight="1">
      <c r="F25" s="6"/>
      <c r="G25" s="6"/>
      <c r="H25" s="6"/>
      <c r="I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6"/>
      <c r="C26" s="6"/>
      <c r="D26" s="6"/>
      <c r="E26" s="6"/>
      <c r="F26" s="6"/>
      <c r="G26" s="6"/>
      <c r="H26" s="6"/>
      <c r="I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6"/>
      <c r="C27" s="6"/>
      <c r="D27" s="6"/>
      <c r="E27" s="6"/>
      <c r="F27" s="6"/>
      <c r="G27" s="6"/>
      <c r="H27" s="6"/>
      <c r="I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F1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FE65D-BF7A-478E-805F-8914646FCC21}">
  <dimension ref="A1:D81"/>
  <sheetViews>
    <sheetView workbookViewId="0">
      <selection activeCell="E25" sqref="E25"/>
    </sheetView>
  </sheetViews>
  <sheetFormatPr defaultRowHeight="14.4" outlineLevelRow="1"/>
  <sheetData>
    <row r="1" spans="1:4">
      <c r="A1" t="s">
        <v>1</v>
      </c>
      <c r="B1" t="s">
        <v>3</v>
      </c>
      <c r="C1" t="s">
        <v>4</v>
      </c>
      <c r="D1" t="s">
        <v>5</v>
      </c>
    </row>
    <row r="2" spans="1:4" hidden="1" outlineLevel="1">
      <c r="B2" s="47">
        <f>'Report 1'!$H$2</f>
        <v>400</v>
      </c>
      <c r="C2" s="47">
        <f>'Report 1'!$I$2</f>
        <v>310</v>
      </c>
      <c r="D2" s="47">
        <f>'Report 1'!$J$2</f>
        <v>170</v>
      </c>
    </row>
    <row r="3" spans="1:4" hidden="1" outlineLevel="1" collapsed="1">
      <c r="B3" s="47">
        <f>'Report 2'!$G$4</f>
        <v>160</v>
      </c>
      <c r="C3" s="47">
        <f>'Report 2'!$H$4</f>
        <v>170</v>
      </c>
      <c r="D3" s="47">
        <f>'Report 2'!$I$4</f>
        <v>200</v>
      </c>
    </row>
    <row r="4" spans="1:4" hidden="1" outlineLevel="1" collapsed="1">
      <c r="B4" s="47">
        <f>'Report 3'!$B$2</f>
        <v>170</v>
      </c>
      <c r="C4" s="47">
        <f>'Report 3'!$C$2</f>
        <v>400</v>
      </c>
      <c r="D4" s="47">
        <f>'Report 3'!$D$2</f>
        <v>235</v>
      </c>
    </row>
    <row r="5" spans="1:4" collapsed="1">
      <c r="B5" s="47">
        <f>SUM(B2:B4)</f>
        <v>730</v>
      </c>
      <c r="C5" s="47">
        <f>SUM(C2:C4)</f>
        <v>880</v>
      </c>
      <c r="D5" s="47">
        <f>SUM(D2:D4)</f>
        <v>605</v>
      </c>
    </row>
    <row r="6" spans="1:4" hidden="1" outlineLevel="1">
      <c r="B6" s="47">
        <f>'Report 1'!$H$3</f>
        <v>170</v>
      </c>
      <c r="C6" s="47">
        <f>'Report 1'!$I$3</f>
        <v>250</v>
      </c>
      <c r="D6" s="47">
        <f>'Report 1'!$J$3</f>
        <v>220</v>
      </c>
    </row>
    <row r="7" spans="1:4" hidden="1" outlineLevel="1" collapsed="1">
      <c r="B7" s="47">
        <f>'Report 2'!$G$5</f>
        <v>220</v>
      </c>
      <c r="C7" s="47">
        <f>'Report 2'!$H$5</f>
        <v>270</v>
      </c>
      <c r="D7" s="47">
        <f>'Report 2'!$I$5</f>
        <v>190</v>
      </c>
    </row>
    <row r="8" spans="1:4" hidden="1" outlineLevel="1" collapsed="1">
      <c r="B8" s="47">
        <f>'Report 3'!$B$3</f>
        <v>155</v>
      </c>
      <c r="C8" s="47">
        <f>'Report 3'!$C$3</f>
        <v>160</v>
      </c>
      <c r="D8" s="47">
        <f>'Report 3'!$D$3</f>
        <v>260</v>
      </c>
    </row>
    <row r="9" spans="1:4" collapsed="1">
      <c r="B9" s="47">
        <f>SUM(B6:B8)</f>
        <v>545</v>
      </c>
      <c r="C9" s="47">
        <f>SUM(C6:C8)</f>
        <v>680</v>
      </c>
      <c r="D9" s="47">
        <f>SUM(D6:D8)</f>
        <v>670</v>
      </c>
    </row>
    <row r="10" spans="1:4" hidden="1" outlineLevel="1">
      <c r="B10" s="47">
        <f>'Report 1'!$H$4</f>
        <v>110</v>
      </c>
      <c r="D10" s="47">
        <f>'Report 1'!$J$4</f>
        <v>340</v>
      </c>
    </row>
    <row r="11" spans="1:4" hidden="1" outlineLevel="1" collapsed="1">
      <c r="B11" s="47">
        <f>'Report 2'!$G$6</f>
        <v>245</v>
      </c>
      <c r="C11" s="47">
        <f>'Report 2'!$H$6</f>
        <v>240</v>
      </c>
      <c r="D11" s="47">
        <f>'Report 2'!$I$6</f>
        <v>235</v>
      </c>
    </row>
    <row r="12" spans="1:4" hidden="1" outlineLevel="1" collapsed="1">
      <c r="B12" s="47">
        <f>'Report 3'!$B$4</f>
        <v>320</v>
      </c>
      <c r="C12" s="47">
        <f>'Report 3'!$C$4</f>
        <v>175</v>
      </c>
      <c r="D12" s="47">
        <f>'Report 3'!$D$4</f>
        <v>235</v>
      </c>
    </row>
    <row r="13" spans="1:4" collapsed="1">
      <c r="B13" s="47">
        <f>SUM(B10:B12)</f>
        <v>675</v>
      </c>
      <c r="C13" s="47">
        <f>SUM(C10:C12)</f>
        <v>415</v>
      </c>
      <c r="D13" s="47">
        <f>SUM(D10:D12)</f>
        <v>810</v>
      </c>
    </row>
    <row r="14" spans="1:4" hidden="1" outlineLevel="1">
      <c r="B14" s="47">
        <f>'Report 1'!$H$5</f>
        <v>120</v>
      </c>
      <c r="C14" s="47">
        <f>'Report 1'!$I$5</f>
        <v>180</v>
      </c>
      <c r="D14" s="47">
        <f>'Report 1'!$J$5</f>
        <v>160</v>
      </c>
    </row>
    <row r="15" spans="1:4" hidden="1" outlineLevel="1" collapsed="1">
      <c r="B15" s="47">
        <f>'Report 2'!$G$7</f>
        <v>140</v>
      </c>
      <c r="C15" s="47">
        <f>'Report 2'!$H$7</f>
        <v>145</v>
      </c>
      <c r="D15" s="47">
        <f>'Report 2'!$I$7</f>
        <v>140</v>
      </c>
    </row>
    <row r="16" spans="1:4" hidden="1" outlineLevel="1" collapsed="1">
      <c r="B16" s="47">
        <f>'Report 3'!$B$5</f>
        <v>270</v>
      </c>
      <c r="C16" s="47">
        <f>'Report 3'!$C$5</f>
        <v>460</v>
      </c>
      <c r="D16" s="47">
        <f>'Report 3'!$D$5</f>
        <v>190</v>
      </c>
    </row>
    <row r="17" spans="2:4" collapsed="1">
      <c r="B17" s="47">
        <f>SUM(B14:B16)</f>
        <v>530</v>
      </c>
      <c r="C17" s="47">
        <f>SUM(C14:C16)</f>
        <v>785</v>
      </c>
      <c r="D17" s="47">
        <f>SUM(D14:D16)</f>
        <v>490</v>
      </c>
    </row>
    <row r="18" spans="2:4" hidden="1" outlineLevel="1">
      <c r="B18" s="47">
        <f>'Report 1'!$H$6</f>
        <v>210</v>
      </c>
      <c r="C18" s="47">
        <f>'Report 1'!$I$6</f>
        <v>300</v>
      </c>
      <c r="D18" s="47">
        <f>'Report 1'!$J$6</f>
        <v>270</v>
      </c>
    </row>
    <row r="19" spans="2:4" hidden="1" outlineLevel="1" collapsed="1">
      <c r="B19" s="47">
        <f>'Report 2'!$G$8</f>
        <v>130</v>
      </c>
      <c r="C19" s="47">
        <f>'Report 2'!$H$8</f>
        <v>250</v>
      </c>
      <c r="D19" s="47">
        <f>'Report 2'!$I$8</f>
        <v>190</v>
      </c>
    </row>
    <row r="20" spans="2:4" hidden="1" outlineLevel="1" collapsed="1">
      <c r="B20" s="47">
        <f>'Report 3'!$B$6</f>
        <v>190</v>
      </c>
      <c r="C20" s="47">
        <f>'Report 3'!$C$6</f>
        <v>160</v>
      </c>
      <c r="D20" s="47">
        <f>'Report 3'!$D$6</f>
        <v>250</v>
      </c>
    </row>
    <row r="21" spans="2:4" collapsed="1">
      <c r="B21" s="47">
        <f>SUM(B18:B20)</f>
        <v>530</v>
      </c>
      <c r="C21" s="47">
        <f>SUM(C18:C20)</f>
        <v>710</v>
      </c>
      <c r="D21" s="47">
        <f>SUM(D18:D20)</f>
        <v>710</v>
      </c>
    </row>
    <row r="22" spans="2:4" hidden="1" outlineLevel="1">
      <c r="B22" s="47">
        <f>'Report 1'!$H$7</f>
        <v>180</v>
      </c>
      <c r="C22" s="47">
        <f>'Report 1'!$I$7</f>
        <v>260</v>
      </c>
      <c r="D22" s="47">
        <f>'Report 1'!$J$7</f>
        <v>210</v>
      </c>
    </row>
    <row r="23" spans="2:4" hidden="1" outlineLevel="1" collapsed="1">
      <c r="B23" s="47">
        <f>'Report 2'!$G$9</f>
        <v>210</v>
      </c>
      <c r="C23" s="47">
        <f>'Report 2'!$H$9</f>
        <v>110</v>
      </c>
      <c r="D23" s="47">
        <f>'Report 2'!$I$9</f>
        <v>150</v>
      </c>
    </row>
    <row r="24" spans="2:4" hidden="1" outlineLevel="1" collapsed="1">
      <c r="B24" s="47">
        <f>'Report 3'!$B$7</f>
        <v>145</v>
      </c>
      <c r="C24" s="47">
        <f>'Report 3'!$C$7</f>
        <v>220</v>
      </c>
      <c r="D24" s="47">
        <f>'Report 3'!$D$7</f>
        <v>300</v>
      </c>
    </row>
    <row r="25" spans="2:4" collapsed="1">
      <c r="B25" s="47">
        <f>SUM(B22:B24)</f>
        <v>535</v>
      </c>
      <c r="C25" s="47">
        <f>SUM(C22:C24)</f>
        <v>590</v>
      </c>
      <c r="D25" s="47">
        <f>SUM(D22:D24)</f>
        <v>660</v>
      </c>
    </row>
    <row r="26" spans="2:4" hidden="1" outlineLevel="1">
      <c r="B26" s="47">
        <f>'Report 1'!$H$8</f>
        <v>130</v>
      </c>
      <c r="C26" s="47">
        <f>'Report 1'!$I$8</f>
        <v>190</v>
      </c>
      <c r="D26" s="47">
        <f>'Report 1'!$J$8</f>
        <v>150</v>
      </c>
    </row>
    <row r="27" spans="2:4" hidden="1" outlineLevel="1" collapsed="1">
      <c r="B27" s="47">
        <f>'Report 2'!$G$10</f>
        <v>310</v>
      </c>
      <c r="C27" s="47">
        <f>'Report 2'!$H$10</f>
        <v>150</v>
      </c>
      <c r="D27" s="47">
        <f>'Report 2'!$I$10</f>
        <v>190</v>
      </c>
    </row>
    <row r="28" spans="2:4" hidden="1" outlineLevel="1" collapsed="1">
      <c r="B28" s="47">
        <f>'Report 3'!$B$8</f>
        <v>310</v>
      </c>
      <c r="C28" s="47">
        <f>'Report 3'!$C$8</f>
        <v>140</v>
      </c>
      <c r="D28" s="47">
        <f>'Report 3'!$D$8</f>
        <v>160</v>
      </c>
    </row>
    <row r="29" spans="2:4" collapsed="1">
      <c r="B29" s="47">
        <f>SUM(B26:B28)</f>
        <v>750</v>
      </c>
      <c r="C29" s="47">
        <f>SUM(C26:C28)</f>
        <v>480</v>
      </c>
      <c r="D29" s="47">
        <f>SUM(D26:D28)</f>
        <v>500</v>
      </c>
    </row>
    <row r="30" spans="2:4" hidden="1" outlineLevel="1">
      <c r="B30" s="47">
        <f>'Report 1'!$H$9</f>
        <v>175</v>
      </c>
      <c r="C30" s="47">
        <f>'Report 1'!$I$9</f>
        <v>245</v>
      </c>
      <c r="D30" s="47">
        <f>'Report 1'!$J$9</f>
        <v>215</v>
      </c>
    </row>
    <row r="31" spans="2:4" hidden="1" outlineLevel="1" collapsed="1">
      <c r="B31" s="47">
        <f>'Report 2'!$G$11</f>
        <v>180</v>
      </c>
      <c r="C31" s="47">
        <f>'Report 2'!$H$11</f>
        <v>290</v>
      </c>
      <c r="D31" s="47">
        <f>'Report 2'!$I$11</f>
        <v>205</v>
      </c>
    </row>
    <row r="32" spans="2:4" hidden="1" outlineLevel="1" collapsed="1">
      <c r="B32" s="47">
        <f>'Report 3'!$B$9</f>
        <v>150</v>
      </c>
      <c r="C32" s="47">
        <f>'Report 3'!$C$9</f>
        <v>250</v>
      </c>
      <c r="D32" s="47">
        <f>'Report 3'!$D$9</f>
        <v>210</v>
      </c>
    </row>
    <row r="33" spans="2:4" collapsed="1">
      <c r="B33" s="47">
        <f>SUM(B30:B32)</f>
        <v>505</v>
      </c>
      <c r="C33" s="47">
        <f>SUM(C30:C32)</f>
        <v>785</v>
      </c>
      <c r="D33" s="47">
        <f>SUM(D30:D32)</f>
        <v>630</v>
      </c>
    </row>
    <row r="34" spans="2:4" hidden="1" outlineLevel="1">
      <c r="B34" s="47">
        <f>'Report 1'!$H$10</f>
        <v>150</v>
      </c>
      <c r="C34" s="47">
        <f>'Report 1'!$I$10</f>
        <v>210</v>
      </c>
      <c r="D34" s="47">
        <f>'Report 1'!$J$10</f>
        <v>190</v>
      </c>
    </row>
    <row r="35" spans="2:4" hidden="1" outlineLevel="1" collapsed="1">
      <c r="B35" s="47">
        <f>'Report 2'!$G$12</f>
        <v>100</v>
      </c>
      <c r="C35" s="47">
        <f>'Report 2'!$H$12</f>
        <v>210</v>
      </c>
      <c r="D35" s="47">
        <f>'Report 2'!$I$12</f>
        <v>220</v>
      </c>
    </row>
    <row r="36" spans="2:4" hidden="1" outlineLevel="1" collapsed="1">
      <c r="B36" s="47">
        <f>'Report 3'!$B$10</f>
        <v>140</v>
      </c>
      <c r="C36" s="47">
        <f>'Report 3'!$C$10</f>
        <v>270</v>
      </c>
      <c r="D36" s="47">
        <f>'Report 3'!$D$10</f>
        <v>205</v>
      </c>
    </row>
    <row r="37" spans="2:4" collapsed="1">
      <c r="B37" s="47">
        <f>SUM(B34:B36)</f>
        <v>390</v>
      </c>
      <c r="C37" s="47">
        <f>SUM(C34:C36)</f>
        <v>690</v>
      </c>
      <c r="D37" s="47">
        <f>SUM(D34:D36)</f>
        <v>615</v>
      </c>
    </row>
    <row r="38" spans="2:4" hidden="1" outlineLevel="1">
      <c r="B38" s="47">
        <f>'Report 1'!$H$11</f>
        <v>160</v>
      </c>
      <c r="D38" s="47">
        <f>'Report 1'!$J$11</f>
        <v>180</v>
      </c>
    </row>
    <row r="39" spans="2:4" hidden="1" outlineLevel="1" collapsed="1">
      <c r="B39" s="47">
        <f>'Report 2'!$G$13</f>
        <v>215</v>
      </c>
      <c r="C39" s="47">
        <f>'Report 2'!$H$13</f>
        <v>200</v>
      </c>
      <c r="D39" s="47">
        <f>'Report 2'!$I$13</f>
        <v>185</v>
      </c>
    </row>
    <row r="40" spans="2:4" hidden="1" outlineLevel="1" collapsed="1">
      <c r="B40" s="47">
        <f>'Report 3'!$B$11</f>
        <v>290</v>
      </c>
      <c r="C40" s="47">
        <f>'Report 3'!$C$11</f>
        <v>245</v>
      </c>
      <c r="D40" s="47">
        <f>'Report 3'!$D$11</f>
        <v>180</v>
      </c>
    </row>
    <row r="41" spans="2:4" collapsed="1">
      <c r="B41" s="47">
        <f>SUM(B38:B40)</f>
        <v>665</v>
      </c>
      <c r="C41" s="47">
        <f>SUM(C38:C40)</f>
        <v>445</v>
      </c>
      <c r="D41" s="47">
        <f>SUM(D38:D40)</f>
        <v>545</v>
      </c>
    </row>
    <row r="42" spans="2:4" hidden="1" outlineLevel="1">
      <c r="B42" s="47">
        <f>'Report 1'!$H$12</f>
        <v>165</v>
      </c>
      <c r="C42" s="47">
        <f>'Report 1'!$I$12</f>
        <v>235</v>
      </c>
      <c r="D42" s="47">
        <f>'Report 1'!$J$12</f>
        <v>205</v>
      </c>
    </row>
    <row r="43" spans="2:4" hidden="1" outlineLevel="1" collapsed="1">
      <c r="B43" s="47">
        <f>'Report 2'!$G$14</f>
        <v>140</v>
      </c>
      <c r="C43" s="47">
        <f>'Report 2'!$H$14</f>
        <v>215</v>
      </c>
      <c r="D43" s="47">
        <f>'Report 2'!$I$14</f>
        <v>200</v>
      </c>
    </row>
    <row r="44" spans="2:4" hidden="1" outlineLevel="1" collapsed="1">
      <c r="C44" s="47">
        <f>'Report 3'!$C$12</f>
        <v>100</v>
      </c>
      <c r="D44" s="47">
        <f>'Report 3'!$D$12</f>
        <v>220</v>
      </c>
    </row>
    <row r="45" spans="2:4" collapsed="1">
      <c r="B45" s="47">
        <f>SUM(B42:B44)</f>
        <v>305</v>
      </c>
      <c r="C45" s="47">
        <f>SUM(C42:C44)</f>
        <v>550</v>
      </c>
      <c r="D45" s="47">
        <f>SUM(D42:D44)</f>
        <v>625</v>
      </c>
    </row>
    <row r="46" spans="2:4" hidden="1" outlineLevel="1">
      <c r="B46" s="47">
        <f>'Report 1'!$H$13</f>
        <v>110</v>
      </c>
      <c r="C46" s="47">
        <f>'Report 1'!$I$13</f>
        <v>220</v>
      </c>
      <c r="D46" s="47">
        <f>'Report 1'!$J$13</f>
        <v>160</v>
      </c>
    </row>
    <row r="47" spans="2:4" hidden="1" outlineLevel="1" collapsed="1">
      <c r="B47" s="47">
        <f>'Report 2'!$G$15</f>
        <v>180</v>
      </c>
      <c r="C47" s="47">
        <f>'Report 2'!$H$15</f>
        <v>210</v>
      </c>
      <c r="D47" s="47">
        <f>'Report 2'!$I$15</f>
        <v>120</v>
      </c>
    </row>
    <row r="48" spans="2:4" hidden="1" outlineLevel="1" collapsed="1">
      <c r="B48" s="47">
        <f>'Report 3'!$B$13</f>
        <v>190</v>
      </c>
      <c r="C48" s="47">
        <f>'Report 3'!$C$13</f>
        <v>200</v>
      </c>
      <c r="D48" s="47">
        <f>'Report 3'!$D$13</f>
        <v>120</v>
      </c>
    </row>
    <row r="49" spans="2:4" collapsed="1">
      <c r="B49" s="47">
        <f>SUM(B46:B48)</f>
        <v>480</v>
      </c>
      <c r="C49" s="47">
        <f>SUM(C46:C48)</f>
        <v>630</v>
      </c>
      <c r="D49" s="47">
        <f>SUM(D46:D48)</f>
        <v>400</v>
      </c>
    </row>
    <row r="50" spans="2:4" hidden="1" outlineLevel="1">
      <c r="B50" s="47">
        <f>'Report 1'!$H$14</f>
        <v>220</v>
      </c>
      <c r="C50" s="47">
        <f>'Report 1'!$I$14</f>
        <v>310</v>
      </c>
      <c r="D50" s="47">
        <f>'Report 1'!$J$14</f>
        <v>280</v>
      </c>
    </row>
    <row r="51" spans="2:4" hidden="1" outlineLevel="1" collapsed="1">
      <c r="B51" s="47">
        <f>'Report 2'!$G$16</f>
        <v>160</v>
      </c>
      <c r="C51" s="47">
        <f>'Report 2'!$H$16</f>
        <v>110</v>
      </c>
      <c r="D51" s="47">
        <f>'Report 2'!$I$16</f>
        <v>160</v>
      </c>
    </row>
    <row r="52" spans="2:4" hidden="1" outlineLevel="1" collapsed="1">
      <c r="B52" s="47">
        <f>'Report 3'!$B$14</f>
        <v>165</v>
      </c>
      <c r="D52" s="47">
        <f>'Report 3'!$D$14</f>
        <v>130</v>
      </c>
    </row>
    <row r="53" spans="2:4" collapsed="1">
      <c r="B53" s="47">
        <f>SUM(B50:B52)</f>
        <v>545</v>
      </c>
      <c r="C53" s="47">
        <f>SUM(C50:C52)</f>
        <v>420</v>
      </c>
      <c r="D53" s="47">
        <f>SUM(D50:D52)</f>
        <v>570</v>
      </c>
    </row>
    <row r="54" spans="2:4" hidden="1" outlineLevel="1">
      <c r="B54" s="47">
        <f>'Report 1'!$H$15</f>
        <v>140</v>
      </c>
      <c r="C54" s="47">
        <f>'Report 1'!$I$15</f>
        <v>200</v>
      </c>
      <c r="D54" s="47">
        <f>'Report 1'!$J$15</f>
        <v>170</v>
      </c>
    </row>
    <row r="55" spans="2:4" hidden="1" outlineLevel="1" collapsed="1">
      <c r="B55" s="47">
        <f>'Report 2'!$G$17</f>
        <v>265</v>
      </c>
      <c r="C55" s="47">
        <f>'Report 2'!$H$17</f>
        <v>270</v>
      </c>
      <c r="D55" s="47">
        <f>'Report 2'!$I$17</f>
        <v>260</v>
      </c>
    </row>
    <row r="56" spans="2:4" hidden="1" outlineLevel="1" collapsed="1">
      <c r="B56" s="47">
        <f>'Report 3'!$B$15</f>
        <v>200</v>
      </c>
      <c r="C56" s="47">
        <f>'Report 3'!$C$15</f>
        <v>210</v>
      </c>
      <c r="D56" s="47">
        <f>'Report 3'!$D$15</f>
        <v>175</v>
      </c>
    </row>
    <row r="57" spans="2:4" collapsed="1">
      <c r="B57" s="47">
        <f>SUM(B54:B56)</f>
        <v>605</v>
      </c>
      <c r="C57" s="47">
        <f>SUM(C54:C56)</f>
        <v>680</v>
      </c>
      <c r="D57" s="47">
        <f>SUM(D54:D56)</f>
        <v>605</v>
      </c>
    </row>
    <row r="58" spans="2:4" hidden="1" outlineLevel="1">
      <c r="B58" s="47">
        <f>'Report 1'!$H$16</f>
        <v>155</v>
      </c>
      <c r="C58" s="47">
        <f>'Report 1'!$I$16</f>
        <v>215</v>
      </c>
      <c r="D58" s="47">
        <f>'Report 1'!$J$16</f>
        <v>185</v>
      </c>
    </row>
    <row r="59" spans="2:4" hidden="1" outlineLevel="1" collapsed="1">
      <c r="B59" s="47">
        <f>'Report 2'!$G$18</f>
        <v>340</v>
      </c>
      <c r="C59" s="47">
        <f>'Report 2'!$H$18</f>
        <v>155</v>
      </c>
      <c r="D59" s="47">
        <f>'Report 2'!$I$18</f>
        <v>170</v>
      </c>
    </row>
    <row r="60" spans="2:4" hidden="1" outlineLevel="1" collapsed="1">
      <c r="B60" s="47">
        <f>'Report 3'!$B$16</f>
        <v>180</v>
      </c>
      <c r="C60" s="47">
        <f>'Report 3'!$C$16</f>
        <v>280</v>
      </c>
      <c r="D60" s="47">
        <f>'Report 3'!$D$16</f>
        <v>265</v>
      </c>
    </row>
    <row r="61" spans="2:4" collapsed="1">
      <c r="B61" s="47">
        <f>SUM(B58:B60)</f>
        <v>675</v>
      </c>
      <c r="C61" s="47">
        <f>SUM(C58:C60)</f>
        <v>650</v>
      </c>
      <c r="D61" s="47">
        <f>SUM(D58:D60)</f>
        <v>620</v>
      </c>
    </row>
    <row r="62" spans="2:4" hidden="1" outlineLevel="1">
      <c r="B62" s="47">
        <f>'Report 1'!$H$17</f>
        <v>190</v>
      </c>
      <c r="C62" s="47">
        <f>'Report 1'!$I$17</f>
        <v>270</v>
      </c>
      <c r="D62" s="47">
        <f>'Report 1'!$J$17</f>
        <v>240</v>
      </c>
    </row>
    <row r="63" spans="2:4" hidden="1" outlineLevel="1" collapsed="1">
      <c r="B63" s="47">
        <f>'Report 2'!$G$19</f>
        <v>180</v>
      </c>
      <c r="C63" s="47">
        <f>'Report 2'!$H$19</f>
        <v>250</v>
      </c>
      <c r="D63" s="47">
        <f>'Report 2'!$I$19</f>
        <v>165</v>
      </c>
    </row>
    <row r="64" spans="2:4" hidden="1" outlineLevel="1" collapsed="1">
      <c r="B64" s="47">
        <f>'Report 3'!$B$17</f>
        <v>210</v>
      </c>
      <c r="C64" s="47">
        <f>'Report 3'!$C$17</f>
        <v>310</v>
      </c>
      <c r="D64" s="47">
        <f>'Report 3'!$D$17</f>
        <v>215</v>
      </c>
    </row>
    <row r="65" spans="2:4" collapsed="1">
      <c r="B65" s="47">
        <f>SUM(B62:B64)</f>
        <v>580</v>
      </c>
      <c r="C65" s="47">
        <f>SUM(C62:C64)</f>
        <v>830</v>
      </c>
      <c r="D65" s="47">
        <f>SUM(D62:D64)</f>
        <v>620</v>
      </c>
    </row>
    <row r="66" spans="2:4" hidden="1" outlineLevel="1">
      <c r="B66" s="47">
        <f>'Report 1'!$H$18</f>
        <v>200</v>
      </c>
      <c r="C66" s="47">
        <f>'Report 1'!$I$18</f>
        <v>290</v>
      </c>
    </row>
    <row r="67" spans="2:4" hidden="1" outlineLevel="1" collapsed="1">
      <c r="B67" s="47">
        <f>'Report 2'!$G$20</f>
        <v>280</v>
      </c>
      <c r="C67" s="47">
        <f>'Report 2'!$H$20</f>
        <v>175</v>
      </c>
    </row>
    <row r="68" spans="2:4" hidden="1" outlineLevel="1" collapsed="1">
      <c r="B68" s="47">
        <f>'Report 3'!$B$18</f>
        <v>215</v>
      </c>
      <c r="C68" s="47">
        <f>'Report 3'!$C$18</f>
        <v>185</v>
      </c>
      <c r="D68" s="47">
        <f>'Report 3'!$D$18</f>
        <v>140</v>
      </c>
    </row>
    <row r="69" spans="2:4" collapsed="1">
      <c r="B69" s="47">
        <f>SUM(B66:B68)</f>
        <v>695</v>
      </c>
      <c r="C69" s="47">
        <f>SUM(C66:C68)</f>
        <v>650</v>
      </c>
      <c r="D69" s="47">
        <f>SUM(D66:D68)</f>
        <v>140</v>
      </c>
    </row>
    <row r="70" spans="2:4" hidden="1" outlineLevel="1">
      <c r="B70" s="47">
        <f>'Report 1'!$H$19</f>
        <v>250</v>
      </c>
      <c r="C70" s="47">
        <f>'Report 1'!$I$19</f>
        <v>140</v>
      </c>
      <c r="D70" s="47">
        <f>'Report 1'!$J$19</f>
        <v>200</v>
      </c>
    </row>
    <row r="71" spans="2:4" hidden="1" outlineLevel="1" collapsed="1">
      <c r="B71" s="47">
        <f>'Report 2'!$G$21</f>
        <v>310</v>
      </c>
      <c r="D71" s="47">
        <f>'Report 2'!$I$21</f>
        <v>220</v>
      </c>
    </row>
    <row r="72" spans="2:4" hidden="1" outlineLevel="1" collapsed="1">
      <c r="B72" s="47">
        <f>'Report 3'!$B$19</f>
        <v>200</v>
      </c>
      <c r="C72" s="47">
        <f>'Report 3'!$C$19</f>
        <v>240</v>
      </c>
      <c r="D72" s="47">
        <f>'Report 3'!$D$19</f>
        <v>170</v>
      </c>
    </row>
    <row r="73" spans="2:4" collapsed="1">
      <c r="B73" s="47">
        <f>SUM(B70:B72)</f>
        <v>760</v>
      </c>
      <c r="C73" s="47">
        <f>SUM(C70:C72)</f>
        <v>380</v>
      </c>
      <c r="D73" s="47">
        <f>SUM(D70:D72)</f>
        <v>590</v>
      </c>
    </row>
    <row r="74" spans="2:4" hidden="1" outlineLevel="1">
      <c r="B74" s="47">
        <f>'Report 1'!$H$20</f>
        <v>185</v>
      </c>
      <c r="C74" s="47">
        <f>'Report 1'!$I$20</f>
        <v>265</v>
      </c>
      <c r="D74" s="47">
        <f>'Report 1'!$J$20</f>
        <v>235</v>
      </c>
    </row>
    <row r="75" spans="2:4" hidden="1" outlineLevel="1" collapsed="1">
      <c r="B75" s="47">
        <f>'Report 2'!$G$22</f>
        <v>235</v>
      </c>
      <c r="C75" s="47">
        <f>'Report 2'!$H$22</f>
        <v>205</v>
      </c>
      <c r="D75" s="47">
        <f>'Report 2'!$I$22</f>
        <v>175</v>
      </c>
    </row>
    <row r="76" spans="2:4" hidden="1" outlineLevel="1" collapsed="1">
      <c r="B76" s="47">
        <f>'Report 3'!$B$20</f>
        <v>340</v>
      </c>
      <c r="C76" s="47">
        <f>'Report 3'!$C$20</f>
        <v>170</v>
      </c>
      <c r="D76" s="47">
        <f>'Report 3'!$D$20</f>
        <v>150</v>
      </c>
    </row>
    <row r="77" spans="2:4" collapsed="1">
      <c r="B77" s="47">
        <f>SUM(B74:B76)</f>
        <v>760</v>
      </c>
      <c r="C77" s="47">
        <f>SUM(C74:C76)</f>
        <v>640</v>
      </c>
      <c r="D77" s="47">
        <f>SUM(D74:D76)</f>
        <v>560</v>
      </c>
    </row>
    <row r="78" spans="2:4" hidden="1" outlineLevel="1">
      <c r="B78" s="47">
        <f>'Report 1'!$H$21</f>
        <v>145</v>
      </c>
      <c r="C78" s="47">
        <f>'Report 1'!$I$21</f>
        <v>205</v>
      </c>
      <c r="D78" s="47">
        <f>'Report 1'!$J$21</f>
        <v>175</v>
      </c>
    </row>
    <row r="79" spans="2:4" hidden="1" outlineLevel="1" collapsed="1">
      <c r="B79" s="47">
        <f>'Report 2'!$G$23</f>
        <v>170</v>
      </c>
      <c r="C79" s="47">
        <f>'Report 2'!$H$23</f>
        <v>185</v>
      </c>
      <c r="D79" s="47">
        <f>'Report 2'!$I$23</f>
        <v>300</v>
      </c>
    </row>
    <row r="80" spans="2:4" hidden="1" outlineLevel="1" collapsed="1">
      <c r="B80" s="47">
        <f>'Report 3'!$B$21</f>
        <v>110</v>
      </c>
      <c r="C80" s="47">
        <f>'Report 3'!$C$21</f>
        <v>220</v>
      </c>
      <c r="D80" s="47">
        <f>'Report 3'!$D$21</f>
        <v>180</v>
      </c>
    </row>
    <row r="81" spans="2:4" collapsed="1">
      <c r="B81" s="47">
        <f>SUM(B78:B80)</f>
        <v>425</v>
      </c>
      <c r="C81" s="47">
        <f>SUM(C78:C80)</f>
        <v>610</v>
      </c>
      <c r="D81" s="47">
        <f>SUM(D78:D80)</f>
        <v>655</v>
      </c>
    </row>
  </sheetData>
  <dataConsolidate topLabels="1" link="1">
    <dataRefs count="3">
      <dataRef ref="G1:J21" sheet="Report 1"/>
      <dataRef ref="F3:I23" sheet="Report 2"/>
      <dataRef ref="A1:D21" sheet="Report 3"/>
    </dataRefs>
  </dataConsolid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:J1000"/>
  <sheetViews>
    <sheetView workbookViewId="0">
      <selection activeCell="D4" sqref="D4"/>
    </sheetView>
  </sheetViews>
  <sheetFormatPr defaultColWidth="12.6640625" defaultRowHeight="15" customHeight="1"/>
  <cols>
    <col min="1" max="1" width="13.109375" customWidth="1"/>
    <col min="2" max="4" width="8.33203125" customWidth="1"/>
    <col min="5" max="26" width="8.6640625" customWidth="1"/>
  </cols>
  <sheetData>
    <row r="1" spans="7:10" ht="17.25" customHeight="1">
      <c r="G1" s="1" t="s">
        <v>1</v>
      </c>
      <c r="H1" s="3" t="s">
        <v>3</v>
      </c>
      <c r="I1" s="3" t="s">
        <v>4</v>
      </c>
      <c r="J1" s="7" t="s">
        <v>5</v>
      </c>
    </row>
    <row r="2" spans="7:10" ht="17.25" customHeight="1">
      <c r="G2" s="11" t="s">
        <v>8</v>
      </c>
      <c r="H2" s="12">
        <v>400</v>
      </c>
      <c r="I2" s="12">
        <v>310</v>
      </c>
      <c r="J2" s="15">
        <v>170</v>
      </c>
    </row>
    <row r="3" spans="7:10" ht="17.25" customHeight="1">
      <c r="G3" s="11" t="s">
        <v>13</v>
      </c>
      <c r="H3" s="12">
        <v>170</v>
      </c>
      <c r="I3" s="12">
        <v>250</v>
      </c>
      <c r="J3" s="15">
        <v>220</v>
      </c>
    </row>
    <row r="4" spans="7:10" ht="17.25" customHeight="1">
      <c r="G4" s="11" t="s">
        <v>14</v>
      </c>
      <c r="H4" s="12">
        <v>110</v>
      </c>
      <c r="I4" s="12"/>
      <c r="J4" s="15">
        <v>340</v>
      </c>
    </row>
    <row r="5" spans="7:10" ht="17.25" customHeight="1">
      <c r="G5" s="11" t="s">
        <v>15</v>
      </c>
      <c r="H5" s="12">
        <v>120</v>
      </c>
      <c r="I5" s="12">
        <v>180</v>
      </c>
      <c r="J5" s="15">
        <v>160</v>
      </c>
    </row>
    <row r="6" spans="7:10" ht="17.25" customHeight="1">
      <c r="G6" s="11" t="s">
        <v>16</v>
      </c>
      <c r="H6" s="12">
        <v>210</v>
      </c>
      <c r="I6" s="12">
        <v>300</v>
      </c>
      <c r="J6" s="15">
        <v>270</v>
      </c>
    </row>
    <row r="7" spans="7:10" ht="17.25" customHeight="1">
      <c r="G7" s="11" t="s">
        <v>17</v>
      </c>
      <c r="H7" s="12">
        <v>180</v>
      </c>
      <c r="I7" s="12">
        <v>260</v>
      </c>
      <c r="J7" s="15">
        <v>210</v>
      </c>
    </row>
    <row r="8" spans="7:10" ht="17.25" customHeight="1">
      <c r="G8" s="11" t="s">
        <v>18</v>
      </c>
      <c r="H8" s="12">
        <v>130</v>
      </c>
      <c r="I8" s="12">
        <v>190</v>
      </c>
      <c r="J8" s="15">
        <v>150</v>
      </c>
    </row>
    <row r="9" spans="7:10" ht="17.25" customHeight="1">
      <c r="G9" s="11" t="s">
        <v>19</v>
      </c>
      <c r="H9" s="12">
        <v>175</v>
      </c>
      <c r="I9" s="12">
        <v>245</v>
      </c>
      <c r="J9" s="15">
        <v>215</v>
      </c>
    </row>
    <row r="10" spans="7:10" ht="17.25" customHeight="1">
      <c r="G10" s="11" t="s">
        <v>21</v>
      </c>
      <c r="H10" s="12">
        <v>150</v>
      </c>
      <c r="I10" s="12">
        <v>210</v>
      </c>
      <c r="J10" s="15">
        <v>190</v>
      </c>
    </row>
    <row r="11" spans="7:10" ht="17.25" customHeight="1">
      <c r="G11" s="11" t="s">
        <v>22</v>
      </c>
      <c r="H11" s="12">
        <v>160</v>
      </c>
      <c r="I11" s="12"/>
      <c r="J11" s="15">
        <v>180</v>
      </c>
    </row>
    <row r="12" spans="7:10" ht="17.25" customHeight="1">
      <c r="G12" s="11" t="s">
        <v>24</v>
      </c>
      <c r="H12" s="12">
        <v>165</v>
      </c>
      <c r="I12" s="12">
        <v>235</v>
      </c>
      <c r="J12" s="15">
        <v>205</v>
      </c>
    </row>
    <row r="13" spans="7:10" ht="17.25" customHeight="1">
      <c r="G13" s="11" t="s">
        <v>26</v>
      </c>
      <c r="H13" s="12">
        <v>110</v>
      </c>
      <c r="I13" s="12">
        <v>220</v>
      </c>
      <c r="J13" s="15">
        <v>160</v>
      </c>
    </row>
    <row r="14" spans="7:10" ht="17.25" customHeight="1">
      <c r="G14" s="11" t="s">
        <v>28</v>
      </c>
      <c r="H14" s="12">
        <v>220</v>
      </c>
      <c r="I14" s="12">
        <v>310</v>
      </c>
      <c r="J14" s="15">
        <v>280</v>
      </c>
    </row>
    <row r="15" spans="7:10" ht="17.25" customHeight="1">
      <c r="G15" s="11" t="s">
        <v>30</v>
      </c>
      <c r="H15" s="12">
        <v>140</v>
      </c>
      <c r="I15" s="12">
        <v>200</v>
      </c>
      <c r="J15" s="15">
        <v>170</v>
      </c>
    </row>
    <row r="16" spans="7:10" ht="17.25" customHeight="1">
      <c r="G16" s="11" t="s">
        <v>29</v>
      </c>
      <c r="H16" s="12">
        <v>155</v>
      </c>
      <c r="I16" s="12">
        <v>215</v>
      </c>
      <c r="J16" s="15">
        <v>185</v>
      </c>
    </row>
    <row r="17" spans="7:10" ht="17.25" customHeight="1">
      <c r="G17" s="11" t="s">
        <v>27</v>
      </c>
      <c r="H17" s="12">
        <v>190</v>
      </c>
      <c r="I17" s="12">
        <v>270</v>
      </c>
      <c r="J17" s="15">
        <v>240</v>
      </c>
    </row>
    <row r="18" spans="7:10" ht="17.25" customHeight="1">
      <c r="G18" s="11" t="s">
        <v>25</v>
      </c>
      <c r="H18" s="12">
        <v>200</v>
      </c>
      <c r="I18" s="12">
        <v>290</v>
      </c>
      <c r="J18" s="15"/>
    </row>
    <row r="19" spans="7:10" ht="17.25" customHeight="1">
      <c r="G19" s="11" t="s">
        <v>23</v>
      </c>
      <c r="H19" s="12">
        <v>250</v>
      </c>
      <c r="I19" s="12">
        <v>140</v>
      </c>
      <c r="J19" s="15">
        <v>200</v>
      </c>
    </row>
    <row r="20" spans="7:10" ht="17.25" customHeight="1">
      <c r="G20" s="11" t="s">
        <v>20</v>
      </c>
      <c r="H20" s="12">
        <v>185</v>
      </c>
      <c r="I20" s="12">
        <v>265</v>
      </c>
      <c r="J20" s="15">
        <v>235</v>
      </c>
    </row>
    <row r="21" spans="7:10" ht="17.25" customHeight="1">
      <c r="G21" s="20" t="s">
        <v>9</v>
      </c>
      <c r="H21" s="24">
        <v>145</v>
      </c>
      <c r="I21" s="24">
        <v>205</v>
      </c>
      <c r="J21" s="25">
        <v>175</v>
      </c>
    </row>
    <row r="22" spans="7:10" ht="14.25" customHeight="1"/>
    <row r="23" spans="7:10" ht="14.25" customHeight="1"/>
    <row r="24" spans="7:10" ht="14.25" customHeight="1"/>
    <row r="25" spans="7:10" ht="14.25" customHeight="1"/>
    <row r="26" spans="7:10" ht="14.25" customHeight="1"/>
    <row r="27" spans="7:10" ht="14.25" customHeight="1"/>
    <row r="28" spans="7:10" ht="14.25" customHeight="1"/>
    <row r="29" spans="7:10" ht="14.25" customHeight="1"/>
    <row r="30" spans="7:10" ht="14.25" customHeight="1"/>
    <row r="31" spans="7:10" ht="14.25" customHeight="1"/>
    <row r="32" spans="7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Consolidate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1:I1000"/>
  <sheetViews>
    <sheetView topLeftCell="A3" workbookViewId="0">
      <selection activeCell="L6" sqref="L6"/>
    </sheetView>
  </sheetViews>
  <sheetFormatPr defaultColWidth="12.6640625" defaultRowHeight="15" customHeight="1"/>
  <cols>
    <col min="1" max="1" width="13.109375" customWidth="1"/>
    <col min="2" max="4" width="8.33203125" customWidth="1"/>
    <col min="5" max="26" width="8.6640625" customWidth="1"/>
  </cols>
  <sheetData>
    <row r="1" spans="6:9" ht="17.25" customHeight="1"/>
    <row r="2" spans="6:9" ht="17.25" customHeight="1"/>
    <row r="3" spans="6:9" ht="17.25" customHeight="1">
      <c r="F3" s="2" t="s">
        <v>1</v>
      </c>
      <c r="G3" s="4" t="s">
        <v>3</v>
      </c>
      <c r="H3" s="4" t="s">
        <v>4</v>
      </c>
      <c r="I3" s="8" t="s">
        <v>5</v>
      </c>
    </row>
    <row r="4" spans="6:9" ht="17.25" customHeight="1">
      <c r="F4" s="13" t="s">
        <v>9</v>
      </c>
      <c r="G4" s="12">
        <v>160</v>
      </c>
      <c r="H4" s="12">
        <v>170</v>
      </c>
      <c r="I4" s="16">
        <v>200</v>
      </c>
    </row>
    <row r="5" spans="6:9" ht="17.25" customHeight="1">
      <c r="F5" s="13" t="s">
        <v>20</v>
      </c>
      <c r="G5" s="12">
        <v>220</v>
      </c>
      <c r="H5" s="12">
        <v>270</v>
      </c>
      <c r="I5" s="16">
        <v>190</v>
      </c>
    </row>
    <row r="6" spans="6:9" ht="17.25" customHeight="1">
      <c r="F6" s="13" t="s">
        <v>23</v>
      </c>
      <c r="G6" s="12">
        <v>245</v>
      </c>
      <c r="H6" s="12">
        <v>240</v>
      </c>
      <c r="I6" s="16">
        <v>235</v>
      </c>
    </row>
    <row r="7" spans="6:9" ht="17.25" customHeight="1">
      <c r="F7" s="13" t="s">
        <v>25</v>
      </c>
      <c r="G7" s="12">
        <v>140</v>
      </c>
      <c r="H7" s="12">
        <v>145</v>
      </c>
      <c r="I7" s="16">
        <v>140</v>
      </c>
    </row>
    <row r="8" spans="6:9" ht="17.25" customHeight="1">
      <c r="F8" s="13" t="s">
        <v>27</v>
      </c>
      <c r="G8" s="12">
        <v>130</v>
      </c>
      <c r="H8" s="12">
        <v>250</v>
      </c>
      <c r="I8" s="16">
        <v>190</v>
      </c>
    </row>
    <row r="9" spans="6:9" ht="17.25" customHeight="1">
      <c r="F9" s="13" t="s">
        <v>29</v>
      </c>
      <c r="G9" s="12">
        <v>210</v>
      </c>
      <c r="H9" s="12">
        <v>110</v>
      </c>
      <c r="I9" s="16">
        <v>150</v>
      </c>
    </row>
    <row r="10" spans="6:9" ht="17.25" customHeight="1">
      <c r="F10" s="13" t="s">
        <v>30</v>
      </c>
      <c r="G10" s="12">
        <v>310</v>
      </c>
      <c r="H10" s="12">
        <v>150</v>
      </c>
      <c r="I10" s="16">
        <v>190</v>
      </c>
    </row>
    <row r="11" spans="6:9" ht="17.25" customHeight="1">
      <c r="F11" s="13" t="s">
        <v>28</v>
      </c>
      <c r="G11" s="12">
        <v>180</v>
      </c>
      <c r="H11" s="12">
        <v>290</v>
      </c>
      <c r="I11" s="16">
        <v>205</v>
      </c>
    </row>
    <row r="12" spans="6:9" ht="17.25" customHeight="1">
      <c r="F12" s="13" t="s">
        <v>26</v>
      </c>
      <c r="G12" s="12">
        <v>100</v>
      </c>
      <c r="H12" s="12">
        <v>210</v>
      </c>
      <c r="I12" s="16">
        <v>220</v>
      </c>
    </row>
    <row r="13" spans="6:9" ht="17.25" customHeight="1">
      <c r="F13" s="13" t="s">
        <v>24</v>
      </c>
      <c r="G13" s="12">
        <v>215</v>
      </c>
      <c r="H13" s="12">
        <v>200</v>
      </c>
      <c r="I13" s="16">
        <v>185</v>
      </c>
    </row>
    <row r="14" spans="6:9" ht="17.25" customHeight="1">
      <c r="F14" s="13" t="s">
        <v>22</v>
      </c>
      <c r="G14" s="12">
        <v>140</v>
      </c>
      <c r="H14" s="12">
        <v>215</v>
      </c>
      <c r="I14" s="16">
        <v>200</v>
      </c>
    </row>
    <row r="15" spans="6:9" ht="17.25" customHeight="1">
      <c r="F15" s="13" t="s">
        <v>21</v>
      </c>
      <c r="G15" s="12">
        <v>180</v>
      </c>
      <c r="H15" s="12">
        <v>210</v>
      </c>
      <c r="I15" s="16">
        <v>120</v>
      </c>
    </row>
    <row r="16" spans="6:9" ht="17.25" customHeight="1">
      <c r="F16" s="13" t="s">
        <v>19</v>
      </c>
      <c r="G16" s="12">
        <v>160</v>
      </c>
      <c r="H16" s="12">
        <v>110</v>
      </c>
      <c r="I16" s="16">
        <v>160</v>
      </c>
    </row>
    <row r="17" spans="6:9" ht="17.25" customHeight="1">
      <c r="F17" s="13" t="s">
        <v>18</v>
      </c>
      <c r="G17" s="12">
        <v>265</v>
      </c>
      <c r="H17" s="12">
        <v>270</v>
      </c>
      <c r="I17" s="16">
        <v>260</v>
      </c>
    </row>
    <row r="18" spans="6:9" ht="17.25" customHeight="1">
      <c r="F18" s="13" t="s">
        <v>17</v>
      </c>
      <c r="G18" s="12">
        <v>340</v>
      </c>
      <c r="H18" s="12">
        <v>155</v>
      </c>
      <c r="I18" s="16">
        <v>170</v>
      </c>
    </row>
    <row r="19" spans="6:9" ht="17.25" customHeight="1">
      <c r="F19" s="13" t="s">
        <v>16</v>
      </c>
      <c r="G19" s="12">
        <v>180</v>
      </c>
      <c r="H19" s="12">
        <v>250</v>
      </c>
      <c r="I19" s="16">
        <v>165</v>
      </c>
    </row>
    <row r="20" spans="6:9" ht="17.25" customHeight="1">
      <c r="F20" s="13" t="s">
        <v>15</v>
      </c>
      <c r="G20" s="12">
        <v>280</v>
      </c>
      <c r="H20" s="12">
        <v>175</v>
      </c>
      <c r="I20" s="16"/>
    </row>
    <row r="21" spans="6:9" ht="17.25" customHeight="1">
      <c r="F21" s="13" t="s">
        <v>14</v>
      </c>
      <c r="G21" s="12">
        <v>310</v>
      </c>
      <c r="H21" s="12"/>
      <c r="I21" s="16">
        <v>220</v>
      </c>
    </row>
    <row r="22" spans="6:9" ht="14.25" customHeight="1">
      <c r="F22" s="13" t="s">
        <v>13</v>
      </c>
      <c r="G22" s="12">
        <v>235</v>
      </c>
      <c r="H22" s="12">
        <v>205</v>
      </c>
      <c r="I22" s="16">
        <v>175</v>
      </c>
    </row>
    <row r="23" spans="6:9" ht="14.25" customHeight="1">
      <c r="F23" s="21" t="s">
        <v>8</v>
      </c>
      <c r="G23" s="26">
        <v>170</v>
      </c>
      <c r="H23" s="26">
        <v>185</v>
      </c>
      <c r="I23" s="29">
        <v>300</v>
      </c>
    </row>
    <row r="24" spans="6:9" ht="14.25" customHeight="1"/>
    <row r="25" spans="6:9" ht="14.25" customHeight="1"/>
    <row r="26" spans="6:9" ht="14.25" customHeight="1"/>
    <row r="27" spans="6:9" ht="14.25" customHeight="1"/>
    <row r="28" spans="6:9" ht="14.25" customHeight="1"/>
    <row r="29" spans="6:9" ht="14.25" customHeight="1"/>
    <row r="30" spans="6:9" ht="14.25" customHeight="1"/>
    <row r="31" spans="6:9" ht="14.25" customHeight="1"/>
    <row r="32" spans="6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>
      <selection activeCell="N13" sqref="N13"/>
    </sheetView>
  </sheetViews>
  <sheetFormatPr defaultColWidth="12.6640625" defaultRowHeight="15" customHeight="1"/>
  <cols>
    <col min="1" max="1" width="13.109375" customWidth="1"/>
    <col min="2" max="4" width="8.33203125" customWidth="1"/>
    <col min="5" max="26" width="8.6640625" customWidth="1"/>
  </cols>
  <sheetData>
    <row r="1" spans="1:13" ht="17.25" customHeight="1">
      <c r="A1" s="38" t="s">
        <v>1</v>
      </c>
      <c r="B1" s="39" t="s">
        <v>3</v>
      </c>
      <c r="C1" s="39" t="s">
        <v>4</v>
      </c>
      <c r="D1" s="40" t="s">
        <v>5</v>
      </c>
    </row>
    <row r="2" spans="1:13" ht="17.25" customHeight="1">
      <c r="A2" s="42" t="s">
        <v>23</v>
      </c>
      <c r="B2" s="12">
        <v>170</v>
      </c>
      <c r="C2" s="12">
        <v>400</v>
      </c>
      <c r="D2" s="43">
        <v>235</v>
      </c>
      <c r="K2" t="s">
        <v>3</v>
      </c>
      <c r="L2" t="s">
        <v>4</v>
      </c>
      <c r="M2" t="s">
        <v>5</v>
      </c>
    </row>
    <row r="3" spans="1:13" ht="17.25" customHeight="1">
      <c r="A3" s="42" t="s">
        <v>8</v>
      </c>
      <c r="B3" s="12">
        <v>155</v>
      </c>
      <c r="C3" s="12">
        <v>160</v>
      </c>
      <c r="D3" s="43">
        <v>260</v>
      </c>
      <c r="J3" t="s">
        <v>8</v>
      </c>
      <c r="K3" s="47">
        <v>725</v>
      </c>
      <c r="L3" s="47">
        <v>655</v>
      </c>
      <c r="M3" s="47">
        <v>730</v>
      </c>
    </row>
    <row r="4" spans="1:13" ht="17.25" customHeight="1">
      <c r="A4" s="42" t="s">
        <v>26</v>
      </c>
      <c r="B4" s="12">
        <v>320</v>
      </c>
      <c r="C4" s="12">
        <v>175</v>
      </c>
      <c r="D4" s="43">
        <v>235</v>
      </c>
      <c r="J4" t="s">
        <v>13</v>
      </c>
      <c r="K4" s="47">
        <v>545</v>
      </c>
      <c r="L4" s="47">
        <v>725</v>
      </c>
      <c r="M4" s="47">
        <v>600</v>
      </c>
    </row>
    <row r="5" spans="1:13" ht="17.25" customHeight="1">
      <c r="A5" s="42" t="s">
        <v>14</v>
      </c>
      <c r="B5" s="12">
        <v>270</v>
      </c>
      <c r="C5" s="12">
        <v>460</v>
      </c>
      <c r="D5" s="43">
        <v>190</v>
      </c>
      <c r="J5" t="s">
        <v>14</v>
      </c>
      <c r="K5" s="47">
        <v>690</v>
      </c>
      <c r="L5" s="47">
        <v>460</v>
      </c>
      <c r="M5" s="47">
        <v>750</v>
      </c>
    </row>
    <row r="6" spans="1:13" ht="17.25" customHeight="1">
      <c r="A6" s="42" t="s">
        <v>17</v>
      </c>
      <c r="B6" s="12">
        <v>190</v>
      </c>
      <c r="C6" s="12">
        <v>160</v>
      </c>
      <c r="D6" s="43">
        <v>250</v>
      </c>
      <c r="J6" t="s">
        <v>15</v>
      </c>
      <c r="K6" s="47">
        <v>590</v>
      </c>
      <c r="L6" s="47">
        <v>555</v>
      </c>
      <c r="M6" s="47">
        <v>280</v>
      </c>
    </row>
    <row r="7" spans="1:13" ht="17.25" customHeight="1">
      <c r="A7" s="42" t="s">
        <v>18</v>
      </c>
      <c r="B7" s="12">
        <v>145</v>
      </c>
      <c r="C7" s="12">
        <v>220</v>
      </c>
      <c r="D7" s="43">
        <v>300</v>
      </c>
      <c r="J7" t="s">
        <v>16</v>
      </c>
      <c r="K7" s="47">
        <v>730</v>
      </c>
      <c r="L7" s="47">
        <v>720</v>
      </c>
      <c r="M7" s="47">
        <v>585</v>
      </c>
    </row>
    <row r="8" spans="1:13" ht="17.25" customHeight="1">
      <c r="A8" s="42" t="s">
        <v>22</v>
      </c>
      <c r="B8" s="12">
        <v>310</v>
      </c>
      <c r="C8" s="12">
        <v>140</v>
      </c>
      <c r="D8" s="43">
        <v>160</v>
      </c>
      <c r="J8" t="s">
        <v>17</v>
      </c>
      <c r="K8" s="47">
        <v>710</v>
      </c>
      <c r="L8" s="47">
        <v>575</v>
      </c>
      <c r="M8" s="47">
        <v>630</v>
      </c>
    </row>
    <row r="9" spans="1:13" ht="17.25" customHeight="1">
      <c r="A9" s="42" t="s">
        <v>30</v>
      </c>
      <c r="B9" s="12">
        <v>150</v>
      </c>
      <c r="C9" s="12">
        <v>250</v>
      </c>
      <c r="D9" s="43">
        <v>210</v>
      </c>
      <c r="J9" t="s">
        <v>18</v>
      </c>
      <c r="K9" s="47">
        <v>540</v>
      </c>
      <c r="L9" s="47">
        <v>680</v>
      </c>
      <c r="M9" s="47">
        <v>710</v>
      </c>
    </row>
    <row r="10" spans="1:13" ht="17.25" customHeight="1">
      <c r="A10" s="42" t="s">
        <v>13</v>
      </c>
      <c r="B10" s="12">
        <v>140</v>
      </c>
      <c r="C10" s="12">
        <v>270</v>
      </c>
      <c r="D10" s="43">
        <v>205</v>
      </c>
      <c r="J10" t="s">
        <v>19</v>
      </c>
      <c r="K10" s="47">
        <v>545</v>
      </c>
      <c r="L10" s="47">
        <v>665</v>
      </c>
      <c r="M10" s="47">
        <v>590</v>
      </c>
    </row>
    <row r="11" spans="1:13" ht="17.25" customHeight="1">
      <c r="A11" s="42" t="s">
        <v>21</v>
      </c>
      <c r="B11" s="12">
        <v>290</v>
      </c>
      <c r="C11" s="12">
        <v>245</v>
      </c>
      <c r="D11" s="43">
        <v>180</v>
      </c>
      <c r="J11" t="s">
        <v>21</v>
      </c>
      <c r="K11" s="47">
        <v>620</v>
      </c>
      <c r="L11" s="47">
        <v>665</v>
      </c>
      <c r="M11" s="47">
        <v>490</v>
      </c>
    </row>
    <row r="12" spans="1:13" ht="17.25" customHeight="1">
      <c r="A12" s="42" t="s">
        <v>27</v>
      </c>
      <c r="B12" s="12"/>
      <c r="C12" s="12">
        <v>100</v>
      </c>
      <c r="D12" s="43">
        <v>220</v>
      </c>
      <c r="J12" t="s">
        <v>22</v>
      </c>
      <c r="K12" s="47">
        <v>610</v>
      </c>
      <c r="L12" s="47">
        <v>355</v>
      </c>
      <c r="M12" s="47">
        <v>540</v>
      </c>
    </row>
    <row r="13" spans="1:13" ht="17.25" customHeight="1">
      <c r="A13" s="42" t="s">
        <v>15</v>
      </c>
      <c r="B13" s="12">
        <v>190</v>
      </c>
      <c r="C13" s="12">
        <v>200</v>
      </c>
      <c r="D13" s="43">
        <v>120</v>
      </c>
      <c r="J13" t="s">
        <v>24</v>
      </c>
      <c r="K13" s="47">
        <v>580</v>
      </c>
      <c r="L13" s="47">
        <v>675</v>
      </c>
      <c r="M13" s="47">
        <v>560</v>
      </c>
    </row>
    <row r="14" spans="1:13" ht="17.25" customHeight="1">
      <c r="A14" s="42" t="s">
        <v>25</v>
      </c>
      <c r="B14" s="12">
        <v>165</v>
      </c>
      <c r="C14" s="12"/>
      <c r="D14" s="43">
        <v>130</v>
      </c>
      <c r="J14" t="s">
        <v>26</v>
      </c>
      <c r="K14" s="47">
        <v>530</v>
      </c>
      <c r="L14" s="47">
        <v>605</v>
      </c>
      <c r="M14" s="47">
        <v>615</v>
      </c>
    </row>
    <row r="15" spans="1:13" ht="17.25" customHeight="1">
      <c r="A15" s="42" t="s">
        <v>9</v>
      </c>
      <c r="B15" s="12">
        <v>200</v>
      </c>
      <c r="C15" s="12">
        <v>210</v>
      </c>
      <c r="D15" s="43">
        <v>175</v>
      </c>
      <c r="J15" t="s">
        <v>28</v>
      </c>
      <c r="K15" s="47">
        <v>615</v>
      </c>
      <c r="L15" s="47">
        <v>785</v>
      </c>
      <c r="M15" s="47">
        <v>625</v>
      </c>
    </row>
    <row r="16" spans="1:13" ht="17.25" customHeight="1">
      <c r="A16" s="42" t="s">
        <v>29</v>
      </c>
      <c r="B16" s="12">
        <v>180</v>
      </c>
      <c r="C16" s="12">
        <v>280</v>
      </c>
      <c r="D16" s="43">
        <v>265</v>
      </c>
      <c r="J16" t="s">
        <v>30</v>
      </c>
      <c r="K16" s="47">
        <v>600</v>
      </c>
      <c r="L16" s="47">
        <v>600</v>
      </c>
      <c r="M16" s="47">
        <v>570</v>
      </c>
    </row>
    <row r="17" spans="1:13" ht="17.25" customHeight="1">
      <c r="A17" s="42" t="s">
        <v>19</v>
      </c>
      <c r="B17" s="12">
        <v>210</v>
      </c>
      <c r="C17" s="12">
        <v>310</v>
      </c>
      <c r="D17" s="43">
        <v>215</v>
      </c>
      <c r="J17" t="s">
        <v>29</v>
      </c>
      <c r="K17" s="47">
        <v>545</v>
      </c>
      <c r="L17" s="47">
        <v>605</v>
      </c>
      <c r="M17" s="47">
        <v>600</v>
      </c>
    </row>
    <row r="18" spans="1:13" ht="17.25" customHeight="1">
      <c r="A18" s="42" t="s">
        <v>28</v>
      </c>
      <c r="B18" s="12">
        <v>215</v>
      </c>
      <c r="C18" s="12">
        <v>185</v>
      </c>
      <c r="D18" s="43">
        <v>140</v>
      </c>
      <c r="J18" t="s">
        <v>27</v>
      </c>
      <c r="K18" s="47">
        <v>320</v>
      </c>
      <c r="L18" s="47">
        <v>620</v>
      </c>
      <c r="M18" s="47">
        <v>650</v>
      </c>
    </row>
    <row r="19" spans="1:13" ht="17.25" customHeight="1">
      <c r="A19" s="42" t="s">
        <v>24</v>
      </c>
      <c r="B19" s="12">
        <v>200</v>
      </c>
      <c r="C19" s="12">
        <v>240</v>
      </c>
      <c r="D19" s="43">
        <v>170</v>
      </c>
      <c r="J19" t="s">
        <v>25</v>
      </c>
      <c r="K19" s="47">
        <v>505</v>
      </c>
      <c r="L19" s="47">
        <v>435</v>
      </c>
      <c r="M19" s="47">
        <v>270</v>
      </c>
    </row>
    <row r="20" spans="1:13" ht="17.25" customHeight="1">
      <c r="A20" s="42" t="s">
        <v>16</v>
      </c>
      <c r="B20" s="12">
        <v>340</v>
      </c>
      <c r="C20" s="12">
        <v>170</v>
      </c>
      <c r="D20" s="43">
        <v>150</v>
      </c>
      <c r="J20" t="s">
        <v>23</v>
      </c>
      <c r="K20" s="47">
        <v>665</v>
      </c>
      <c r="L20" s="47">
        <v>780</v>
      </c>
      <c r="M20" s="47">
        <v>670</v>
      </c>
    </row>
    <row r="21" spans="1:13" ht="17.25" customHeight="1">
      <c r="A21" s="44" t="s">
        <v>20</v>
      </c>
      <c r="B21" s="45">
        <v>110</v>
      </c>
      <c r="C21" s="45">
        <v>220</v>
      </c>
      <c r="D21" s="46">
        <v>180</v>
      </c>
      <c r="J21" t="s">
        <v>20</v>
      </c>
      <c r="K21" s="47">
        <v>515</v>
      </c>
      <c r="L21" s="47">
        <v>755</v>
      </c>
      <c r="M21" s="47">
        <v>605</v>
      </c>
    </row>
    <row r="22" spans="1:13" ht="14.25" customHeight="1">
      <c r="J22" t="s">
        <v>9</v>
      </c>
      <c r="K22" s="47">
        <v>505</v>
      </c>
      <c r="L22" s="47">
        <v>585</v>
      </c>
      <c r="M22" s="47">
        <v>550</v>
      </c>
    </row>
    <row r="23" spans="1:13" ht="14.25" customHeight="1"/>
    <row r="24" spans="1:13" ht="14.25" customHeight="1"/>
    <row r="25" spans="1:13" ht="14.25" customHeight="1"/>
    <row r="26" spans="1:13" ht="14.25" customHeight="1"/>
    <row r="27" spans="1:13" ht="14.25" customHeight="1"/>
    <row r="28" spans="1:13" ht="14.25" customHeight="1"/>
    <row r="29" spans="1:13" ht="14.25" customHeight="1"/>
    <row r="30" spans="1:13" ht="14.25" customHeight="1"/>
    <row r="31" spans="1:13" ht="14.25" customHeight="1"/>
    <row r="32" spans="1:1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Consolidate topLabels="1">
    <dataRefs count="3">
      <dataRef ref="G1:J21" sheet="Report 1"/>
      <dataRef ref="F3:I23" sheet="Report 2"/>
      <dataRef ref="A1:D21" sheet="Report 3"/>
    </dataRefs>
  </dataConsolidate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A511-D98C-46CD-9E33-A29CD86B0B9A}">
  <dimension ref="B2:F82"/>
  <sheetViews>
    <sheetView workbookViewId="0">
      <selection activeCell="C2" sqref="C2"/>
    </sheetView>
  </sheetViews>
  <sheetFormatPr defaultRowHeight="14.4" outlineLevelRow="1"/>
  <cols>
    <col min="2" max="2" width="2.21875" customWidth="1"/>
    <col min="3" max="3" width="6.6640625" customWidth="1"/>
  </cols>
  <sheetData>
    <row r="2" spans="2:6">
      <c r="D2" t="s">
        <v>3</v>
      </c>
      <c r="E2" t="s">
        <v>4</v>
      </c>
      <c r="F2" t="s">
        <v>5</v>
      </c>
    </row>
    <row r="3" spans="2:6" hidden="1" outlineLevel="1">
      <c r="C3" t="s">
        <v>48</v>
      </c>
      <c r="D3" s="47">
        <f>'Report 1'!$H$2</f>
        <v>400</v>
      </c>
      <c r="E3" s="47">
        <f>'Report 1'!$I$2</f>
        <v>310</v>
      </c>
      <c r="F3" s="47">
        <f>'Report 1'!$J$2</f>
        <v>170</v>
      </c>
    </row>
    <row r="4" spans="2:6" hidden="1" outlineLevel="1" collapsed="1">
      <c r="C4" t="s">
        <v>48</v>
      </c>
      <c r="D4" s="47">
        <f>'Report 2'!$G$23</f>
        <v>170</v>
      </c>
      <c r="E4" s="47">
        <f>'Report 2'!$H$23</f>
        <v>185</v>
      </c>
      <c r="F4" s="47">
        <f>'Report 2'!$I$23</f>
        <v>300</v>
      </c>
    </row>
    <row r="5" spans="2:6" hidden="1" outlineLevel="1" collapsed="1">
      <c r="C5" t="s">
        <v>48</v>
      </c>
      <c r="D5" s="47">
        <f>'Report 3'!$B$3</f>
        <v>155</v>
      </c>
      <c r="E5" s="47">
        <f>'Report 3'!$C$3</f>
        <v>160</v>
      </c>
      <c r="F5" s="47">
        <f>'Report 3'!$D$3</f>
        <v>260</v>
      </c>
    </row>
    <row r="6" spans="2:6" collapsed="1">
      <c r="B6" t="s">
        <v>8</v>
      </c>
      <c r="D6" s="47">
        <f>SUM(D3:D5)</f>
        <v>725</v>
      </c>
      <c r="E6" s="47">
        <f>SUM(E3:E5)</f>
        <v>655</v>
      </c>
      <c r="F6" s="47">
        <f>SUM(F3:F5)</f>
        <v>730</v>
      </c>
    </row>
    <row r="7" spans="2:6" hidden="1" outlineLevel="1">
      <c r="C7" t="s">
        <v>48</v>
      </c>
      <c r="D7" s="47">
        <f>'Report 1'!$H$3</f>
        <v>170</v>
      </c>
      <c r="E7" s="47">
        <f>'Report 1'!$I$3</f>
        <v>250</v>
      </c>
      <c r="F7" s="47">
        <f>'Report 1'!$J$3</f>
        <v>220</v>
      </c>
    </row>
    <row r="8" spans="2:6" hidden="1" outlineLevel="1" collapsed="1">
      <c r="C8" t="s">
        <v>48</v>
      </c>
      <c r="D8" s="47">
        <f>'Report 2'!$G$22</f>
        <v>235</v>
      </c>
      <c r="E8" s="47">
        <f>'Report 2'!$H$22</f>
        <v>205</v>
      </c>
      <c r="F8" s="47">
        <f>'Report 2'!$I$22</f>
        <v>175</v>
      </c>
    </row>
    <row r="9" spans="2:6" hidden="1" outlineLevel="1" collapsed="1">
      <c r="C9" t="s">
        <v>48</v>
      </c>
      <c r="D9" s="47">
        <f>'Report 3'!$B$10</f>
        <v>140</v>
      </c>
      <c r="E9" s="47">
        <f>'Report 3'!$C$10</f>
        <v>270</v>
      </c>
      <c r="F9" s="47">
        <f>'Report 3'!$D$10</f>
        <v>205</v>
      </c>
    </row>
    <row r="10" spans="2:6" collapsed="1">
      <c r="B10" t="s">
        <v>13</v>
      </c>
      <c r="D10" s="47">
        <f>SUM(D7:D9)</f>
        <v>545</v>
      </c>
      <c r="E10" s="47">
        <f>SUM(E7:E9)</f>
        <v>725</v>
      </c>
      <c r="F10" s="47">
        <f>SUM(F7:F9)</f>
        <v>600</v>
      </c>
    </row>
    <row r="11" spans="2:6" hidden="1" outlineLevel="1">
      <c r="C11" t="s">
        <v>48</v>
      </c>
      <c r="D11" s="47">
        <f>'Report 1'!$H$4</f>
        <v>110</v>
      </c>
      <c r="F11" s="47">
        <f>'Report 1'!$J$4</f>
        <v>340</v>
      </c>
    </row>
    <row r="12" spans="2:6" hidden="1" outlineLevel="1" collapsed="1">
      <c r="C12" t="s">
        <v>48</v>
      </c>
      <c r="D12" s="47">
        <f>'Report 2'!$G$21</f>
        <v>310</v>
      </c>
      <c r="F12" s="47">
        <f>'Report 2'!$I$21</f>
        <v>220</v>
      </c>
    </row>
    <row r="13" spans="2:6" hidden="1" outlineLevel="1" collapsed="1">
      <c r="C13" t="s">
        <v>48</v>
      </c>
      <c r="D13" s="47">
        <f>'Report 3'!$B$5</f>
        <v>270</v>
      </c>
      <c r="E13" s="47">
        <f>'Report 3'!$C$5</f>
        <v>460</v>
      </c>
      <c r="F13" s="47">
        <f>'Report 3'!$D$5</f>
        <v>190</v>
      </c>
    </row>
    <row r="14" spans="2:6" collapsed="1">
      <c r="B14" t="s">
        <v>14</v>
      </c>
      <c r="D14" s="47">
        <f>SUM(D11:D13)</f>
        <v>690</v>
      </c>
      <c r="E14" s="47">
        <f>SUM(E11:E13)</f>
        <v>460</v>
      </c>
      <c r="F14" s="47">
        <f>SUM(F11:F13)</f>
        <v>750</v>
      </c>
    </row>
    <row r="15" spans="2:6" hidden="1" outlineLevel="1">
      <c r="C15" t="s">
        <v>48</v>
      </c>
      <c r="D15" s="47">
        <f>'Report 1'!$H$5</f>
        <v>120</v>
      </c>
      <c r="E15" s="47">
        <f>'Report 1'!$I$5</f>
        <v>180</v>
      </c>
      <c r="F15" s="47">
        <f>'Report 1'!$J$5</f>
        <v>160</v>
      </c>
    </row>
    <row r="16" spans="2:6" hidden="1" outlineLevel="1" collapsed="1">
      <c r="C16" t="s">
        <v>48</v>
      </c>
      <c r="D16" s="47">
        <f>'Report 2'!$G$20</f>
        <v>280</v>
      </c>
      <c r="E16" s="47">
        <f>'Report 2'!$H$20</f>
        <v>175</v>
      </c>
    </row>
    <row r="17" spans="2:6" hidden="1" outlineLevel="1" collapsed="1">
      <c r="C17" t="s">
        <v>48</v>
      </c>
      <c r="D17" s="47">
        <f>'Report 3'!$B$13</f>
        <v>190</v>
      </c>
      <c r="E17" s="47">
        <f>'Report 3'!$C$13</f>
        <v>200</v>
      </c>
      <c r="F17" s="47">
        <f>'Report 3'!$D$13</f>
        <v>120</v>
      </c>
    </row>
    <row r="18" spans="2:6" collapsed="1">
      <c r="B18" t="s">
        <v>15</v>
      </c>
      <c r="D18" s="47">
        <f>SUM(D15:D17)</f>
        <v>590</v>
      </c>
      <c r="E18" s="47">
        <f>SUM(E15:E17)</f>
        <v>555</v>
      </c>
      <c r="F18" s="47">
        <f>SUM(F15:F17)</f>
        <v>280</v>
      </c>
    </row>
    <row r="19" spans="2:6" hidden="1" outlineLevel="1">
      <c r="C19" t="s">
        <v>48</v>
      </c>
      <c r="D19" s="47">
        <f>'Report 1'!$H$6</f>
        <v>210</v>
      </c>
      <c r="E19" s="47">
        <f>'Report 1'!$I$6</f>
        <v>300</v>
      </c>
      <c r="F19" s="47">
        <f>'Report 1'!$J$6</f>
        <v>270</v>
      </c>
    </row>
    <row r="20" spans="2:6" hidden="1" outlineLevel="1" collapsed="1">
      <c r="C20" t="s">
        <v>48</v>
      </c>
      <c r="D20" s="47">
        <f>'Report 2'!$G$19</f>
        <v>180</v>
      </c>
      <c r="E20" s="47">
        <f>'Report 2'!$H$19</f>
        <v>250</v>
      </c>
      <c r="F20" s="47">
        <f>'Report 2'!$I$19</f>
        <v>165</v>
      </c>
    </row>
    <row r="21" spans="2:6" hidden="1" outlineLevel="1" collapsed="1">
      <c r="C21" t="s">
        <v>48</v>
      </c>
      <c r="D21" s="47">
        <f>'Report 3'!$B$20</f>
        <v>340</v>
      </c>
      <c r="E21" s="47">
        <f>'Report 3'!$C$20</f>
        <v>170</v>
      </c>
      <c r="F21" s="47">
        <f>'Report 3'!$D$20</f>
        <v>150</v>
      </c>
    </row>
    <row r="22" spans="2:6" collapsed="1">
      <c r="B22" t="s">
        <v>16</v>
      </c>
      <c r="D22" s="47">
        <f>SUM(D19:D21)</f>
        <v>730</v>
      </c>
      <c r="E22" s="47">
        <f>SUM(E19:E21)</f>
        <v>720</v>
      </c>
      <c r="F22" s="47">
        <f>SUM(F19:F21)</f>
        <v>585</v>
      </c>
    </row>
    <row r="23" spans="2:6" hidden="1" outlineLevel="1">
      <c r="C23" t="s">
        <v>48</v>
      </c>
      <c r="D23" s="47">
        <f>'Report 1'!$H$7</f>
        <v>180</v>
      </c>
      <c r="E23" s="47">
        <f>'Report 1'!$I$7</f>
        <v>260</v>
      </c>
      <c r="F23" s="47">
        <f>'Report 1'!$J$7</f>
        <v>210</v>
      </c>
    </row>
    <row r="24" spans="2:6" hidden="1" outlineLevel="1" collapsed="1">
      <c r="C24" t="s">
        <v>48</v>
      </c>
      <c r="D24" s="47">
        <f>'Report 2'!$G$18</f>
        <v>340</v>
      </c>
      <c r="E24" s="47">
        <f>'Report 2'!$H$18</f>
        <v>155</v>
      </c>
      <c r="F24" s="47">
        <f>'Report 2'!$I$18</f>
        <v>170</v>
      </c>
    </row>
    <row r="25" spans="2:6" hidden="1" outlineLevel="1" collapsed="1">
      <c r="C25" t="s">
        <v>48</v>
      </c>
      <c r="D25" s="47">
        <f>'Report 3'!$B$6</f>
        <v>190</v>
      </c>
      <c r="E25" s="47">
        <f>'Report 3'!$C$6</f>
        <v>160</v>
      </c>
      <c r="F25" s="47">
        <f>'Report 3'!$D$6</f>
        <v>250</v>
      </c>
    </row>
    <row r="26" spans="2:6" collapsed="1">
      <c r="B26" t="s">
        <v>17</v>
      </c>
      <c r="D26" s="47">
        <f>SUM(D23:D25)</f>
        <v>710</v>
      </c>
      <c r="E26" s="47">
        <f>SUM(E23:E25)</f>
        <v>575</v>
      </c>
      <c r="F26" s="47">
        <f>SUM(F23:F25)</f>
        <v>630</v>
      </c>
    </row>
    <row r="27" spans="2:6" hidden="1" outlineLevel="1">
      <c r="C27" t="s">
        <v>48</v>
      </c>
      <c r="D27" s="47">
        <f>'Report 1'!$H$8</f>
        <v>130</v>
      </c>
      <c r="E27" s="47">
        <f>'Report 1'!$I$8</f>
        <v>190</v>
      </c>
      <c r="F27" s="47">
        <f>'Report 1'!$J$8</f>
        <v>150</v>
      </c>
    </row>
    <row r="28" spans="2:6" hidden="1" outlineLevel="1" collapsed="1">
      <c r="C28" t="s">
        <v>48</v>
      </c>
      <c r="D28" s="47">
        <f>'Report 2'!$G$17</f>
        <v>265</v>
      </c>
      <c r="E28" s="47">
        <f>'Report 2'!$H$17</f>
        <v>270</v>
      </c>
      <c r="F28" s="47">
        <f>'Report 2'!$I$17</f>
        <v>260</v>
      </c>
    </row>
    <row r="29" spans="2:6" hidden="1" outlineLevel="1" collapsed="1">
      <c r="C29" t="s">
        <v>48</v>
      </c>
      <c r="D29" s="47">
        <f>'Report 3'!$B$7</f>
        <v>145</v>
      </c>
      <c r="E29" s="47">
        <f>'Report 3'!$C$7</f>
        <v>220</v>
      </c>
      <c r="F29" s="47">
        <f>'Report 3'!$D$7</f>
        <v>300</v>
      </c>
    </row>
    <row r="30" spans="2:6" collapsed="1">
      <c r="B30" t="s">
        <v>18</v>
      </c>
      <c r="D30" s="47">
        <f>SUM(D27:D29)</f>
        <v>540</v>
      </c>
      <c r="E30" s="47">
        <f>SUM(E27:E29)</f>
        <v>680</v>
      </c>
      <c r="F30" s="47">
        <f>SUM(F27:F29)</f>
        <v>710</v>
      </c>
    </row>
    <row r="31" spans="2:6" hidden="1" outlineLevel="1">
      <c r="C31" t="s">
        <v>48</v>
      </c>
      <c r="D31" s="47">
        <f>'Report 1'!$H$9</f>
        <v>175</v>
      </c>
      <c r="E31" s="47">
        <f>'Report 1'!$I$9</f>
        <v>245</v>
      </c>
      <c r="F31" s="47">
        <f>'Report 1'!$J$9</f>
        <v>215</v>
      </c>
    </row>
    <row r="32" spans="2:6" hidden="1" outlineLevel="1" collapsed="1">
      <c r="C32" t="s">
        <v>48</v>
      </c>
      <c r="D32" s="47">
        <f>'Report 2'!$G$16</f>
        <v>160</v>
      </c>
      <c r="E32" s="47">
        <f>'Report 2'!$H$16</f>
        <v>110</v>
      </c>
      <c r="F32" s="47">
        <f>'Report 2'!$I$16</f>
        <v>160</v>
      </c>
    </row>
    <row r="33" spans="2:6" hidden="1" outlineLevel="1" collapsed="1">
      <c r="C33" t="s">
        <v>48</v>
      </c>
      <c r="D33" s="47">
        <f>'Report 3'!$B$17</f>
        <v>210</v>
      </c>
      <c r="E33" s="47">
        <f>'Report 3'!$C$17</f>
        <v>310</v>
      </c>
      <c r="F33" s="47">
        <f>'Report 3'!$D$17</f>
        <v>215</v>
      </c>
    </row>
    <row r="34" spans="2:6" collapsed="1">
      <c r="B34" t="s">
        <v>19</v>
      </c>
      <c r="D34" s="47">
        <f>SUM(D31:D33)</f>
        <v>545</v>
      </c>
      <c r="E34" s="47">
        <f>SUM(E31:E33)</f>
        <v>665</v>
      </c>
      <c r="F34" s="47">
        <f>SUM(F31:F33)</f>
        <v>590</v>
      </c>
    </row>
    <row r="35" spans="2:6" hidden="1" outlineLevel="1">
      <c r="C35" t="s">
        <v>48</v>
      </c>
      <c r="D35" s="47">
        <f>'Report 1'!$H$10</f>
        <v>150</v>
      </c>
      <c r="E35" s="47">
        <f>'Report 1'!$I$10</f>
        <v>210</v>
      </c>
      <c r="F35" s="47">
        <f>'Report 1'!$J$10</f>
        <v>190</v>
      </c>
    </row>
    <row r="36" spans="2:6" hidden="1" outlineLevel="1" collapsed="1">
      <c r="C36" t="s">
        <v>48</v>
      </c>
      <c r="D36" s="47">
        <f>'Report 2'!$G$15</f>
        <v>180</v>
      </c>
      <c r="E36" s="47">
        <f>'Report 2'!$H$15</f>
        <v>210</v>
      </c>
      <c r="F36" s="47">
        <f>'Report 2'!$I$15</f>
        <v>120</v>
      </c>
    </row>
    <row r="37" spans="2:6" hidden="1" outlineLevel="1" collapsed="1">
      <c r="C37" t="s">
        <v>48</v>
      </c>
      <c r="D37" s="47">
        <f>'Report 3'!$B$11</f>
        <v>290</v>
      </c>
      <c r="E37" s="47">
        <f>'Report 3'!$C$11</f>
        <v>245</v>
      </c>
      <c r="F37" s="47">
        <f>'Report 3'!$D$11</f>
        <v>180</v>
      </c>
    </row>
    <row r="38" spans="2:6" collapsed="1">
      <c r="B38" t="s">
        <v>21</v>
      </c>
      <c r="D38" s="47">
        <f>SUM(D35:D37)</f>
        <v>620</v>
      </c>
      <c r="E38" s="47">
        <f>SUM(E35:E37)</f>
        <v>665</v>
      </c>
      <c r="F38" s="47">
        <f>SUM(F35:F37)</f>
        <v>490</v>
      </c>
    </row>
    <row r="39" spans="2:6" hidden="1" outlineLevel="1">
      <c r="C39" t="s">
        <v>48</v>
      </c>
      <c r="D39" s="47">
        <f>'Report 1'!$H$11</f>
        <v>160</v>
      </c>
      <c r="F39" s="47">
        <f>'Report 1'!$J$11</f>
        <v>180</v>
      </c>
    </row>
    <row r="40" spans="2:6" hidden="1" outlineLevel="1" collapsed="1">
      <c r="C40" t="s">
        <v>48</v>
      </c>
      <c r="D40" s="47">
        <f>'Report 2'!$G$14</f>
        <v>140</v>
      </c>
      <c r="E40" s="47">
        <f>'Report 2'!$H$14</f>
        <v>215</v>
      </c>
      <c r="F40" s="47">
        <f>'Report 2'!$I$14</f>
        <v>200</v>
      </c>
    </row>
    <row r="41" spans="2:6" hidden="1" outlineLevel="1" collapsed="1">
      <c r="C41" t="s">
        <v>48</v>
      </c>
      <c r="D41" s="47">
        <f>'Report 3'!$B$8</f>
        <v>310</v>
      </c>
      <c r="E41" s="47">
        <f>'Report 3'!$C$8</f>
        <v>140</v>
      </c>
      <c r="F41" s="47">
        <f>'Report 3'!$D$8</f>
        <v>160</v>
      </c>
    </row>
    <row r="42" spans="2:6" collapsed="1">
      <c r="B42" t="s">
        <v>22</v>
      </c>
      <c r="D42" s="47">
        <f>SUM(D39:D41)</f>
        <v>610</v>
      </c>
      <c r="E42" s="47">
        <f>SUM(E39:E41)</f>
        <v>355</v>
      </c>
      <c r="F42" s="47">
        <f>SUM(F39:F41)</f>
        <v>540</v>
      </c>
    </row>
    <row r="43" spans="2:6" hidden="1" outlineLevel="1">
      <c r="C43" t="s">
        <v>48</v>
      </c>
      <c r="D43" s="47">
        <f>'Report 1'!$H$12</f>
        <v>165</v>
      </c>
      <c r="E43" s="47">
        <f>'Report 1'!$I$12</f>
        <v>235</v>
      </c>
      <c r="F43" s="47">
        <f>'Report 1'!$J$12</f>
        <v>205</v>
      </c>
    </row>
    <row r="44" spans="2:6" hidden="1" outlineLevel="1" collapsed="1">
      <c r="C44" t="s">
        <v>48</v>
      </c>
      <c r="D44" s="47">
        <f>'Report 2'!$G$13</f>
        <v>215</v>
      </c>
      <c r="E44" s="47">
        <f>'Report 2'!$H$13</f>
        <v>200</v>
      </c>
      <c r="F44" s="47">
        <f>'Report 2'!$I$13</f>
        <v>185</v>
      </c>
    </row>
    <row r="45" spans="2:6" hidden="1" outlineLevel="1" collapsed="1">
      <c r="C45" t="s">
        <v>48</v>
      </c>
      <c r="D45" s="47">
        <f>'Report 3'!$B$19</f>
        <v>200</v>
      </c>
      <c r="E45" s="47">
        <f>'Report 3'!$C$19</f>
        <v>240</v>
      </c>
      <c r="F45" s="47">
        <f>'Report 3'!$D$19</f>
        <v>170</v>
      </c>
    </row>
    <row r="46" spans="2:6" collapsed="1">
      <c r="B46" t="s">
        <v>24</v>
      </c>
      <c r="D46" s="47">
        <f>SUM(D43:D45)</f>
        <v>580</v>
      </c>
      <c r="E46" s="47">
        <f>SUM(E43:E45)</f>
        <v>675</v>
      </c>
      <c r="F46" s="47">
        <f>SUM(F43:F45)</f>
        <v>560</v>
      </c>
    </row>
    <row r="47" spans="2:6" hidden="1" outlineLevel="1">
      <c r="C47" t="s">
        <v>48</v>
      </c>
      <c r="D47" s="47">
        <f>'Report 1'!$H$13</f>
        <v>110</v>
      </c>
      <c r="E47" s="47">
        <f>'Report 1'!$I$13</f>
        <v>220</v>
      </c>
      <c r="F47" s="47">
        <f>'Report 1'!$J$13</f>
        <v>160</v>
      </c>
    </row>
    <row r="48" spans="2:6" hidden="1" outlineLevel="1" collapsed="1">
      <c r="C48" t="s">
        <v>48</v>
      </c>
      <c r="D48" s="47">
        <f>'Report 2'!$G$12</f>
        <v>100</v>
      </c>
      <c r="E48" s="47">
        <f>'Report 2'!$H$12</f>
        <v>210</v>
      </c>
      <c r="F48" s="47">
        <f>'Report 2'!$I$12</f>
        <v>220</v>
      </c>
    </row>
    <row r="49" spans="2:6" hidden="1" outlineLevel="1" collapsed="1">
      <c r="C49" t="s">
        <v>48</v>
      </c>
      <c r="D49" s="47">
        <f>'Report 3'!$B$4</f>
        <v>320</v>
      </c>
      <c r="E49" s="47">
        <f>'Report 3'!$C$4</f>
        <v>175</v>
      </c>
      <c r="F49" s="47">
        <f>'Report 3'!$D$4</f>
        <v>235</v>
      </c>
    </row>
    <row r="50" spans="2:6" collapsed="1">
      <c r="B50" t="s">
        <v>26</v>
      </c>
      <c r="D50" s="47">
        <f>SUM(D47:D49)</f>
        <v>530</v>
      </c>
      <c r="E50" s="47">
        <f>SUM(E47:E49)</f>
        <v>605</v>
      </c>
      <c r="F50" s="47">
        <f>SUM(F47:F49)</f>
        <v>615</v>
      </c>
    </row>
    <row r="51" spans="2:6" hidden="1" outlineLevel="1">
      <c r="C51" t="s">
        <v>48</v>
      </c>
      <c r="D51" s="47">
        <f>'Report 1'!$H$14</f>
        <v>220</v>
      </c>
      <c r="E51" s="47">
        <f>'Report 1'!$I$14</f>
        <v>310</v>
      </c>
      <c r="F51" s="47">
        <f>'Report 1'!$J$14</f>
        <v>280</v>
      </c>
    </row>
    <row r="52" spans="2:6" hidden="1" outlineLevel="1" collapsed="1">
      <c r="C52" t="s">
        <v>48</v>
      </c>
      <c r="D52" s="47">
        <f>'Report 2'!$G$11</f>
        <v>180</v>
      </c>
      <c r="E52" s="47">
        <f>'Report 2'!$H$11</f>
        <v>290</v>
      </c>
      <c r="F52" s="47">
        <f>'Report 2'!$I$11</f>
        <v>205</v>
      </c>
    </row>
    <row r="53" spans="2:6" hidden="1" outlineLevel="1" collapsed="1">
      <c r="C53" t="s">
        <v>48</v>
      </c>
      <c r="D53" s="47">
        <f>'Report 3'!$B$18</f>
        <v>215</v>
      </c>
      <c r="E53" s="47">
        <f>'Report 3'!$C$18</f>
        <v>185</v>
      </c>
      <c r="F53" s="47">
        <f>'Report 3'!$D$18</f>
        <v>140</v>
      </c>
    </row>
    <row r="54" spans="2:6" collapsed="1">
      <c r="B54" t="s">
        <v>28</v>
      </c>
      <c r="D54" s="47">
        <f>SUM(D51:D53)</f>
        <v>615</v>
      </c>
      <c r="E54" s="47">
        <f>SUM(E51:E53)</f>
        <v>785</v>
      </c>
      <c r="F54" s="47">
        <f>SUM(F51:F53)</f>
        <v>625</v>
      </c>
    </row>
    <row r="55" spans="2:6" hidden="1" outlineLevel="1">
      <c r="C55" t="s">
        <v>48</v>
      </c>
      <c r="D55" s="47">
        <f>'Report 1'!$H$15</f>
        <v>140</v>
      </c>
      <c r="E55" s="47">
        <f>'Report 1'!$I$15</f>
        <v>200</v>
      </c>
      <c r="F55" s="47">
        <f>'Report 1'!$J$15</f>
        <v>170</v>
      </c>
    </row>
    <row r="56" spans="2:6" hidden="1" outlineLevel="1" collapsed="1">
      <c r="C56" t="s">
        <v>48</v>
      </c>
      <c r="D56" s="47">
        <f>'Report 2'!$G$10</f>
        <v>310</v>
      </c>
      <c r="E56" s="47">
        <f>'Report 2'!$H$10</f>
        <v>150</v>
      </c>
      <c r="F56" s="47">
        <f>'Report 2'!$I$10</f>
        <v>190</v>
      </c>
    </row>
    <row r="57" spans="2:6" hidden="1" outlineLevel="1" collapsed="1">
      <c r="C57" t="s">
        <v>48</v>
      </c>
      <c r="D57" s="47">
        <f>'Report 3'!$B$9</f>
        <v>150</v>
      </c>
      <c r="E57" s="47">
        <f>'Report 3'!$C$9</f>
        <v>250</v>
      </c>
      <c r="F57" s="47">
        <f>'Report 3'!$D$9</f>
        <v>210</v>
      </c>
    </row>
    <row r="58" spans="2:6" collapsed="1">
      <c r="B58" t="s">
        <v>30</v>
      </c>
      <c r="D58" s="47">
        <f>SUM(D55:D57)</f>
        <v>600</v>
      </c>
      <c r="E58" s="47">
        <f>SUM(E55:E57)</f>
        <v>600</v>
      </c>
      <c r="F58" s="47">
        <f>SUM(F55:F57)</f>
        <v>570</v>
      </c>
    </row>
    <row r="59" spans="2:6" hidden="1" outlineLevel="1">
      <c r="C59" t="s">
        <v>48</v>
      </c>
      <c r="D59" s="47">
        <f>'Report 1'!$H$16</f>
        <v>155</v>
      </c>
      <c r="E59" s="47">
        <f>'Report 1'!$I$16</f>
        <v>215</v>
      </c>
      <c r="F59" s="47">
        <f>'Report 1'!$J$16</f>
        <v>185</v>
      </c>
    </row>
    <row r="60" spans="2:6" hidden="1" outlineLevel="1" collapsed="1">
      <c r="C60" t="s">
        <v>48</v>
      </c>
      <c r="D60" s="47">
        <f>'Report 2'!$G$9</f>
        <v>210</v>
      </c>
      <c r="E60" s="47">
        <f>'Report 2'!$H$9</f>
        <v>110</v>
      </c>
      <c r="F60" s="47">
        <f>'Report 2'!$I$9</f>
        <v>150</v>
      </c>
    </row>
    <row r="61" spans="2:6" hidden="1" outlineLevel="1" collapsed="1">
      <c r="C61" t="s">
        <v>48</v>
      </c>
      <c r="D61" s="47">
        <f>'Report 3'!$B$16</f>
        <v>180</v>
      </c>
      <c r="E61" s="47">
        <f>'Report 3'!$C$16</f>
        <v>280</v>
      </c>
      <c r="F61" s="47">
        <f>'Report 3'!$D$16</f>
        <v>265</v>
      </c>
    </row>
    <row r="62" spans="2:6" collapsed="1">
      <c r="B62" t="s">
        <v>29</v>
      </c>
      <c r="D62" s="47">
        <f>SUM(D59:D61)</f>
        <v>545</v>
      </c>
      <c r="E62" s="47">
        <f>SUM(E59:E61)</f>
        <v>605</v>
      </c>
      <c r="F62" s="47">
        <f>SUM(F59:F61)</f>
        <v>600</v>
      </c>
    </row>
    <row r="63" spans="2:6" hidden="1" outlineLevel="1">
      <c r="C63" t="s">
        <v>48</v>
      </c>
      <c r="D63" s="47">
        <f>'Report 1'!$H$17</f>
        <v>190</v>
      </c>
      <c r="E63" s="47">
        <f>'Report 1'!$I$17</f>
        <v>270</v>
      </c>
      <c r="F63" s="47">
        <f>'Report 1'!$J$17</f>
        <v>240</v>
      </c>
    </row>
    <row r="64" spans="2:6" hidden="1" outlineLevel="1" collapsed="1">
      <c r="C64" t="s">
        <v>48</v>
      </c>
      <c r="D64" s="47">
        <f>'Report 2'!$G$8</f>
        <v>130</v>
      </c>
      <c r="E64" s="47">
        <f>'Report 2'!$H$8</f>
        <v>250</v>
      </c>
      <c r="F64" s="47">
        <f>'Report 2'!$I$8</f>
        <v>190</v>
      </c>
    </row>
    <row r="65" spans="2:6" hidden="1" outlineLevel="1" collapsed="1">
      <c r="C65" t="s">
        <v>48</v>
      </c>
      <c r="E65" s="47">
        <f>'Report 3'!$C$12</f>
        <v>100</v>
      </c>
      <c r="F65" s="47">
        <f>'Report 3'!$D$12</f>
        <v>220</v>
      </c>
    </row>
    <row r="66" spans="2:6" collapsed="1">
      <c r="B66" t="s">
        <v>27</v>
      </c>
      <c r="D66" s="47">
        <f>SUM(D63:D65)</f>
        <v>320</v>
      </c>
      <c r="E66" s="47">
        <f>SUM(E63:E65)</f>
        <v>620</v>
      </c>
      <c r="F66" s="47">
        <f>SUM(F63:F65)</f>
        <v>650</v>
      </c>
    </row>
    <row r="67" spans="2:6" hidden="1" outlineLevel="1">
      <c r="C67" t="s">
        <v>48</v>
      </c>
      <c r="D67" s="47">
        <f>'Report 1'!$H$18</f>
        <v>200</v>
      </c>
      <c r="E67" s="47">
        <f>'Report 1'!$I$18</f>
        <v>290</v>
      </c>
    </row>
    <row r="68" spans="2:6" hidden="1" outlineLevel="1" collapsed="1">
      <c r="C68" t="s">
        <v>48</v>
      </c>
      <c r="D68" s="47">
        <f>'Report 2'!$G$7</f>
        <v>140</v>
      </c>
      <c r="E68" s="47">
        <f>'Report 2'!$H$7</f>
        <v>145</v>
      </c>
      <c r="F68" s="47">
        <f>'Report 2'!$I$7</f>
        <v>140</v>
      </c>
    </row>
    <row r="69" spans="2:6" hidden="1" outlineLevel="1" collapsed="1">
      <c r="C69" t="s">
        <v>48</v>
      </c>
      <c r="D69" s="47">
        <f>'Report 3'!$B$14</f>
        <v>165</v>
      </c>
      <c r="F69" s="47">
        <f>'Report 3'!$D$14</f>
        <v>130</v>
      </c>
    </row>
    <row r="70" spans="2:6" collapsed="1">
      <c r="B70" t="s">
        <v>25</v>
      </c>
      <c r="D70" s="47">
        <f>SUM(D67:D69)</f>
        <v>505</v>
      </c>
      <c r="E70" s="47">
        <f>SUM(E67:E69)</f>
        <v>435</v>
      </c>
      <c r="F70" s="47">
        <f>SUM(F67:F69)</f>
        <v>270</v>
      </c>
    </row>
    <row r="71" spans="2:6" hidden="1" outlineLevel="1">
      <c r="C71" t="s">
        <v>48</v>
      </c>
      <c r="D71" s="47">
        <f>'Report 1'!$H$19</f>
        <v>250</v>
      </c>
      <c r="E71" s="47">
        <f>'Report 1'!$I$19</f>
        <v>140</v>
      </c>
      <c r="F71" s="47">
        <f>'Report 1'!$J$19</f>
        <v>200</v>
      </c>
    </row>
    <row r="72" spans="2:6" hidden="1" outlineLevel="1" collapsed="1">
      <c r="C72" t="s">
        <v>48</v>
      </c>
      <c r="D72" s="47">
        <f>'Report 2'!$G$6</f>
        <v>245</v>
      </c>
      <c r="E72" s="47">
        <f>'Report 2'!$H$6</f>
        <v>240</v>
      </c>
      <c r="F72" s="47">
        <f>'Report 2'!$I$6</f>
        <v>235</v>
      </c>
    </row>
    <row r="73" spans="2:6" hidden="1" outlineLevel="1" collapsed="1">
      <c r="C73" t="s">
        <v>48</v>
      </c>
      <c r="D73" s="47">
        <f>'Report 3'!$B$2</f>
        <v>170</v>
      </c>
      <c r="E73" s="47">
        <f>'Report 3'!$C$2</f>
        <v>400</v>
      </c>
      <c r="F73" s="47">
        <f>'Report 3'!$D$2</f>
        <v>235</v>
      </c>
    </row>
    <row r="74" spans="2:6" collapsed="1">
      <c r="B74" t="s">
        <v>23</v>
      </c>
      <c r="D74" s="47">
        <f>SUM(D71:D73)</f>
        <v>665</v>
      </c>
      <c r="E74" s="47">
        <f>SUM(E71:E73)</f>
        <v>780</v>
      </c>
      <c r="F74" s="47">
        <f>SUM(F71:F73)</f>
        <v>670</v>
      </c>
    </row>
    <row r="75" spans="2:6" hidden="1" outlineLevel="1">
      <c r="C75" t="s">
        <v>48</v>
      </c>
      <c r="D75" s="47">
        <f>'Report 1'!$H$20</f>
        <v>185</v>
      </c>
      <c r="E75" s="47">
        <f>'Report 1'!$I$20</f>
        <v>265</v>
      </c>
      <c r="F75" s="47">
        <f>'Report 1'!$J$20</f>
        <v>235</v>
      </c>
    </row>
    <row r="76" spans="2:6" hidden="1" outlineLevel="1" collapsed="1">
      <c r="C76" t="s">
        <v>48</v>
      </c>
      <c r="D76" s="47">
        <f>'Report 2'!$G$5</f>
        <v>220</v>
      </c>
      <c r="E76" s="47">
        <f>'Report 2'!$H$5</f>
        <v>270</v>
      </c>
      <c r="F76" s="47">
        <f>'Report 2'!$I$5</f>
        <v>190</v>
      </c>
    </row>
    <row r="77" spans="2:6" hidden="1" outlineLevel="1" collapsed="1">
      <c r="C77" t="s">
        <v>48</v>
      </c>
      <c r="D77" s="47">
        <f>'Report 3'!$B$21</f>
        <v>110</v>
      </c>
      <c r="E77" s="47">
        <f>'Report 3'!$C$21</f>
        <v>220</v>
      </c>
      <c r="F77" s="47">
        <f>'Report 3'!$D$21</f>
        <v>180</v>
      </c>
    </row>
    <row r="78" spans="2:6" collapsed="1">
      <c r="B78" t="s">
        <v>20</v>
      </c>
      <c r="D78" s="47">
        <f>SUM(D75:D77)</f>
        <v>515</v>
      </c>
      <c r="E78" s="47">
        <f>SUM(E75:E77)</f>
        <v>755</v>
      </c>
      <c r="F78" s="47">
        <f>SUM(F75:F77)</f>
        <v>605</v>
      </c>
    </row>
    <row r="79" spans="2:6" hidden="1" outlineLevel="1">
      <c r="C79" t="s">
        <v>48</v>
      </c>
      <c r="D79" s="47">
        <f>'Report 1'!$H$21</f>
        <v>145</v>
      </c>
      <c r="E79" s="47">
        <f>'Report 1'!$I$21</f>
        <v>205</v>
      </c>
      <c r="F79" s="47">
        <f>'Report 1'!$J$21</f>
        <v>175</v>
      </c>
    </row>
    <row r="80" spans="2:6" hidden="1" outlineLevel="1" collapsed="1">
      <c r="C80" t="s">
        <v>48</v>
      </c>
      <c r="D80" s="47">
        <f>'Report 2'!$G$4</f>
        <v>160</v>
      </c>
      <c r="E80" s="47">
        <f>'Report 2'!$H$4</f>
        <v>170</v>
      </c>
      <c r="F80" s="47">
        <f>'Report 2'!$I$4</f>
        <v>200</v>
      </c>
    </row>
    <row r="81" spans="2:6" hidden="1" outlineLevel="1" collapsed="1">
      <c r="C81" t="s">
        <v>48</v>
      </c>
      <c r="D81" s="47">
        <f>'Report 3'!$B$15</f>
        <v>200</v>
      </c>
      <c r="E81" s="47">
        <f>'Report 3'!$C$15</f>
        <v>210</v>
      </c>
      <c r="F81" s="47">
        <f>'Report 3'!$D$15</f>
        <v>175</v>
      </c>
    </row>
    <row r="82" spans="2:6" collapsed="1">
      <c r="B82" t="s">
        <v>9</v>
      </c>
      <c r="D82" s="47">
        <f>SUM(D79:D81)</f>
        <v>505</v>
      </c>
      <c r="E82" s="47">
        <f>SUM(E79:E81)</f>
        <v>585</v>
      </c>
      <c r="F82" s="47">
        <f>SUM(F79:F81)</f>
        <v>550</v>
      </c>
    </row>
  </sheetData>
  <dataConsolidate topLabels="1" link="1">
    <dataRefs count="3">
      <dataRef ref="G1:J21" sheet="Report 1"/>
      <dataRef ref="F3:I23" sheet="Report 2"/>
      <dataRef ref="A1:D21" sheet="Report 3"/>
    </dataRefs>
  </dataConsolid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A331-ABD4-4A8D-8690-515D58267962}">
  <dimension ref="A1:D21"/>
  <sheetViews>
    <sheetView workbookViewId="0">
      <selection sqref="A1:D21"/>
    </sheetView>
  </sheetViews>
  <sheetFormatPr defaultRowHeight="14.4"/>
  <sheetData>
    <row r="1" spans="1:4">
      <c r="B1" t="s">
        <v>3</v>
      </c>
      <c r="C1" t="s">
        <v>4</v>
      </c>
      <c r="D1" t="s">
        <v>5</v>
      </c>
    </row>
    <row r="2" spans="1:4">
      <c r="A2" t="s">
        <v>8</v>
      </c>
      <c r="B2" s="47">
        <v>725</v>
      </c>
      <c r="C2" s="47">
        <v>655</v>
      </c>
      <c r="D2" s="47">
        <v>730</v>
      </c>
    </row>
    <row r="3" spans="1:4">
      <c r="A3" t="s">
        <v>13</v>
      </c>
      <c r="B3" s="47">
        <v>545</v>
      </c>
      <c r="C3" s="47">
        <v>725</v>
      </c>
      <c r="D3" s="47">
        <v>600</v>
      </c>
    </row>
    <row r="4" spans="1:4">
      <c r="A4" t="s">
        <v>14</v>
      </c>
      <c r="B4" s="47">
        <v>690</v>
      </c>
      <c r="C4" s="47">
        <v>460</v>
      </c>
      <c r="D4" s="47">
        <v>750</v>
      </c>
    </row>
    <row r="5" spans="1:4">
      <c r="A5" t="s">
        <v>15</v>
      </c>
      <c r="B5" s="47">
        <v>590</v>
      </c>
      <c r="C5" s="47">
        <v>555</v>
      </c>
      <c r="D5" s="47">
        <v>280</v>
      </c>
    </row>
    <row r="6" spans="1:4">
      <c r="A6" t="s">
        <v>16</v>
      </c>
      <c r="B6" s="47">
        <v>730</v>
      </c>
      <c r="C6" s="47">
        <v>720</v>
      </c>
      <c r="D6" s="47">
        <v>585</v>
      </c>
    </row>
    <row r="7" spans="1:4">
      <c r="A7" t="s">
        <v>17</v>
      </c>
      <c r="B7" s="47">
        <v>710</v>
      </c>
      <c r="C7" s="47">
        <v>575</v>
      </c>
      <c r="D7" s="47">
        <v>630</v>
      </c>
    </row>
    <row r="8" spans="1:4">
      <c r="A8" t="s">
        <v>18</v>
      </c>
      <c r="B8" s="47">
        <v>540</v>
      </c>
      <c r="C8" s="47">
        <v>680</v>
      </c>
      <c r="D8" s="47">
        <v>710</v>
      </c>
    </row>
    <row r="9" spans="1:4">
      <c r="A9" t="s">
        <v>19</v>
      </c>
      <c r="B9" s="47">
        <v>545</v>
      </c>
      <c r="C9" s="47">
        <v>665</v>
      </c>
      <c r="D9" s="47">
        <v>590</v>
      </c>
    </row>
    <row r="10" spans="1:4">
      <c r="A10" t="s">
        <v>21</v>
      </c>
      <c r="B10" s="47">
        <v>620</v>
      </c>
      <c r="C10" s="47">
        <v>665</v>
      </c>
      <c r="D10" s="47">
        <v>490</v>
      </c>
    </row>
    <row r="11" spans="1:4">
      <c r="A11" t="s">
        <v>22</v>
      </c>
      <c r="B11" s="47">
        <v>610</v>
      </c>
      <c r="C11" s="47">
        <v>355</v>
      </c>
      <c r="D11" s="47">
        <v>540</v>
      </c>
    </row>
    <row r="12" spans="1:4">
      <c r="A12" t="s">
        <v>24</v>
      </c>
      <c r="B12" s="47">
        <v>580</v>
      </c>
      <c r="C12" s="47">
        <v>675</v>
      </c>
      <c r="D12" s="47">
        <v>560</v>
      </c>
    </row>
    <row r="13" spans="1:4">
      <c r="A13" t="s">
        <v>26</v>
      </c>
      <c r="B13" s="47">
        <v>530</v>
      </c>
      <c r="C13" s="47">
        <v>605</v>
      </c>
      <c r="D13" s="47">
        <v>615</v>
      </c>
    </row>
    <row r="14" spans="1:4">
      <c r="A14" t="s">
        <v>28</v>
      </c>
      <c r="B14" s="47">
        <v>615</v>
      </c>
      <c r="C14" s="47">
        <v>785</v>
      </c>
      <c r="D14" s="47">
        <v>625</v>
      </c>
    </row>
    <row r="15" spans="1:4">
      <c r="A15" t="s">
        <v>30</v>
      </c>
      <c r="B15" s="47">
        <v>600</v>
      </c>
      <c r="C15" s="47">
        <v>600</v>
      </c>
      <c r="D15" s="47">
        <v>570</v>
      </c>
    </row>
    <row r="16" spans="1:4">
      <c r="A16" t="s">
        <v>29</v>
      </c>
      <c r="B16" s="47">
        <v>545</v>
      </c>
      <c r="C16" s="47">
        <v>605</v>
      </c>
      <c r="D16" s="47">
        <v>600</v>
      </c>
    </row>
    <row r="17" spans="1:4">
      <c r="A17" t="s">
        <v>27</v>
      </c>
      <c r="B17" s="47">
        <v>320</v>
      </c>
      <c r="C17" s="47">
        <v>620</v>
      </c>
      <c r="D17" s="47">
        <v>650</v>
      </c>
    </row>
    <row r="18" spans="1:4">
      <c r="A18" t="s">
        <v>25</v>
      </c>
      <c r="B18" s="47">
        <v>505</v>
      </c>
      <c r="C18" s="47">
        <v>435</v>
      </c>
      <c r="D18" s="47">
        <v>270</v>
      </c>
    </row>
    <row r="19" spans="1:4">
      <c r="A19" t="s">
        <v>23</v>
      </c>
      <c r="B19" s="47">
        <v>665</v>
      </c>
      <c r="C19" s="47">
        <v>780</v>
      </c>
      <c r="D19" s="47">
        <v>670</v>
      </c>
    </row>
    <row r="20" spans="1:4">
      <c r="A20" t="s">
        <v>20</v>
      </c>
      <c r="B20" s="47">
        <v>515</v>
      </c>
      <c r="C20" s="47">
        <v>755</v>
      </c>
      <c r="D20" s="47">
        <v>605</v>
      </c>
    </row>
    <row r="21" spans="1:4">
      <c r="A21" t="s">
        <v>9</v>
      </c>
      <c r="B21" s="47">
        <v>505</v>
      </c>
      <c r="C21" s="47">
        <v>585</v>
      </c>
      <c r="D21" s="47">
        <v>550</v>
      </c>
    </row>
  </sheetData>
  <dataConsolidate topLabels="1">
    <dataRefs count="3">
      <dataRef ref="G1:J21" sheet="Report 1"/>
      <dataRef ref="F3:I23" sheet="Report 2"/>
      <dataRef ref="A1:D21" sheet="Report 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Consolidate rows</vt:lpstr>
      <vt:lpstr>Consolidate columns</vt:lpstr>
      <vt:lpstr>consolidation</vt:lpstr>
      <vt:lpstr>Report 1</vt:lpstr>
      <vt:lpstr>Report 2</vt:lpstr>
      <vt:lpstr>Report 3</vt:lpstr>
      <vt:lpstr>dynamic</vt:lpstr>
      <vt:lpstr>static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Cheusheva</dc:creator>
  <cp:lastModifiedBy>Swara Tattu</cp:lastModifiedBy>
  <dcterms:created xsi:type="dcterms:W3CDTF">2024-02-06T11:22:53Z</dcterms:created>
  <dcterms:modified xsi:type="dcterms:W3CDTF">2026-09-19T20:18:54Z</dcterms:modified>
</cp:coreProperties>
</file>